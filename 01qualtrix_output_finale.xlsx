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l mio Drive\Clienti\Giorgia\OsservatorioGalactica\"/>
    </mc:Choice>
  </mc:AlternateContent>
  <xr:revisionPtr revIDLastSave="0" documentId="13_ncr:1_{A277CB02-4ACB-47F2-B589-B79AF86BDA2E}" xr6:coauthVersionLast="47" xr6:coauthVersionMax="47" xr10:uidLastSave="{00000000-0000-0000-0000-000000000000}"/>
  <bookViews>
    <workbookView xWindow="6171" yWindow="3969" windowWidth="18515" windowHeight="10740" activeTab="1" xr2:uid="{00000000-000D-0000-FFFF-FFFF00000000}"/>
  </bookViews>
  <sheets>
    <sheet name="Qualtrix_output" sheetId="1" r:id="rId1"/>
    <sheet name="Grafici_1" sheetId="2" r:id="rId2"/>
    <sheet name="Grafici_2" sheetId="3" r:id="rId3"/>
  </sheets>
  <externalReferences>
    <externalReference r:id="rId4"/>
  </externalReferences>
  <definedNames>
    <definedName name="_xlnm._FilterDatabase" localSheetId="0" hidden="1">Qualtrix_output!$A$2:$CG$4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S2" i="3"/>
  <c r="S7" i="3" s="1"/>
  <c r="R2" i="3"/>
  <c r="R7" i="3" s="1"/>
  <c r="Q2" i="3"/>
  <c r="Q7" i="3" s="1"/>
  <c r="P2" i="3"/>
  <c r="P7" i="3" s="1"/>
  <c r="O2" i="3"/>
  <c r="O7" i="3" s="1"/>
  <c r="N2" i="3"/>
  <c r="N7" i="3" s="1"/>
  <c r="M2" i="3"/>
  <c r="M7" i="3" s="1"/>
  <c r="L2" i="3"/>
  <c r="L7" i="3" s="1"/>
  <c r="K2" i="3"/>
  <c r="K7" i="3" s="1"/>
  <c r="J2" i="3"/>
  <c r="J7" i="3" s="1"/>
  <c r="I2" i="3"/>
  <c r="I7" i="3" s="1"/>
  <c r="H2" i="3"/>
  <c r="H7" i="3" s="1"/>
  <c r="G2" i="3"/>
  <c r="G7" i="3" s="1"/>
  <c r="F2" i="3"/>
  <c r="F7" i="3" s="1"/>
  <c r="E2" i="3"/>
  <c r="E7" i="3" s="1"/>
  <c r="D2" i="3"/>
  <c r="D7" i="3" s="1"/>
  <c r="C2" i="3"/>
  <c r="C7" i="3" s="1"/>
  <c r="B2" i="3"/>
  <c r="B7" i="3" s="1"/>
  <c r="A2" i="2"/>
</calcChain>
</file>

<file path=xl/sharedStrings.xml><?xml version="1.0" encoding="utf-8"?>
<sst xmlns="http://schemas.openxmlformats.org/spreadsheetml/2006/main" count="292" uniqueCount="216">
  <si>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</si>
  <si>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</si>
  <si>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</si>
  <si>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</si>
  <si>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</si>
  <si>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</si>
  <si>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</si>
  <si>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</si>
  <si>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</si>
  <si>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</si>
  <si>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</si>
  <si>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</si>
  <si>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</si>
  <si>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</si>
  <si>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</si>
  <si>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</si>
  <si>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</si>
  <si>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</si>
  <si>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</si>
  <si>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</si>
  <si>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</si>
  <si>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</si>
  <si>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</si>
  <si>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</si>
  <si>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</si>
  <si>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</si>
  <si>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A9b </t>
  </si>
  <si>
    <t xml:space="preserve">A10 </t>
  </si>
  <si>
    <t>A11</t>
  </si>
  <si>
    <t xml:space="preserve">CQ1 </t>
  </si>
  <si>
    <t xml:space="preserve">CQ2 </t>
  </si>
  <si>
    <t xml:space="preserve">CQ3 </t>
  </si>
  <si>
    <t xml:space="preserve">CQ4 </t>
  </si>
  <si>
    <t xml:space="preserve">CQ5 </t>
  </si>
  <si>
    <t>PQ1</t>
  </si>
  <si>
    <t>PQ2</t>
  </si>
  <si>
    <t xml:space="preserve">PQ3 </t>
  </si>
  <si>
    <t xml:space="preserve">PQ4 </t>
  </si>
  <si>
    <t xml:space="preserve">PQ5 </t>
  </si>
  <si>
    <t>PQ6</t>
  </si>
  <si>
    <t xml:space="preserve">PQ7 </t>
  </si>
  <si>
    <t xml:space="preserve">CQ6 </t>
  </si>
  <si>
    <t xml:space="preserve">PQ8 </t>
  </si>
  <si>
    <t>PQ9</t>
  </si>
  <si>
    <t xml:space="preserve">PQ10 </t>
  </si>
  <si>
    <t xml:space="preserve">PQ11 </t>
  </si>
  <si>
    <t xml:space="preserve">PQ12 </t>
  </si>
  <si>
    <t xml:space="preserve">SQ1 </t>
  </si>
  <si>
    <t xml:space="preserve">PQ13 </t>
  </si>
  <si>
    <t xml:space="preserve">PQ14 </t>
  </si>
  <si>
    <t xml:space="preserve">PQ15 </t>
  </si>
  <si>
    <t xml:space="preserve">PQ16 </t>
  </si>
  <si>
    <t xml:space="preserve">SQ2 </t>
  </si>
  <si>
    <t xml:space="preserve">SQ3 </t>
  </si>
  <si>
    <t xml:space="preserve">SQ4 </t>
  </si>
  <si>
    <t xml:space="preserve">SQ5 </t>
  </si>
  <si>
    <t xml:space="preserve">SQ6 </t>
  </si>
  <si>
    <t xml:space="preserve">MQ1 </t>
  </si>
  <si>
    <t xml:space="preserve">MQ2 </t>
  </si>
  <si>
    <t xml:space="preserve">MQ3 </t>
  </si>
  <si>
    <t xml:space="preserve">MQ4 </t>
  </si>
  <si>
    <t xml:space="preserve">MQ5 </t>
  </si>
  <si>
    <t xml:space="preserve">MQ6 </t>
  </si>
  <si>
    <t xml:space="preserve">MQ7 </t>
  </si>
  <si>
    <t xml:space="preserve">MQ8 </t>
  </si>
  <si>
    <t xml:space="preserve">MQ9 </t>
  </si>
  <si>
    <t xml:space="preserve">CQ7 </t>
  </si>
  <si>
    <t xml:space="preserve">MQ10 </t>
  </si>
  <si>
    <t xml:space="preserve">MQ11 </t>
  </si>
  <si>
    <t xml:space="preserve">MQ12 </t>
  </si>
  <si>
    <t xml:space="preserve">MQ13 </t>
  </si>
  <si>
    <t xml:space="preserve">PQ17 </t>
  </si>
  <si>
    <t xml:space="preserve">PQ18 </t>
  </si>
  <si>
    <t xml:space="preserve">PQ19 </t>
  </si>
  <si>
    <t xml:space="preserve">MQ14 </t>
  </si>
  <si>
    <t xml:space="preserve">MQ15 </t>
  </si>
  <si>
    <t xml:space="preserve">MQ16 </t>
  </si>
  <si>
    <t xml:space="preserve">MQ17 </t>
  </si>
  <si>
    <t>MQ18</t>
  </si>
  <si>
    <t xml:space="preserve">SQ7 </t>
  </si>
  <si>
    <t xml:space="preserve">SQ8 </t>
  </si>
  <si>
    <t xml:space="preserve">SQ9 </t>
  </si>
  <si>
    <t xml:space="preserve">SQ10 </t>
  </si>
  <si>
    <t xml:space="preserve">SQ11 </t>
  </si>
  <si>
    <t xml:space="preserve">SQ12 </t>
  </si>
  <si>
    <t>Data di inizio</t>
  </si>
  <si>
    <t>Data di fine</t>
  </si>
  <si>
    <t>Tipo risposta</t>
  </si>
  <si>
    <t>Indirizzo IP</t>
  </si>
  <si>
    <t>Avanzamento</t>
  </si>
  <si>
    <t>Durata (in secondi)</t>
  </si>
  <si>
    <t>Terminato</t>
  </si>
  <si>
    <t>Data registrata</t>
  </si>
  <si>
    <t>ID di risposta</t>
  </si>
  <si>
    <t>Cognome del destinatario</t>
  </si>
  <si>
    <t>Nome del destinatario</t>
  </si>
  <si>
    <t>E-mail del destinatario</t>
  </si>
  <si>
    <t>Riferimento a dati esterni</t>
  </si>
  <si>
    <t>Latitudine posizione</t>
  </si>
  <si>
    <t>Longitudine posizione</t>
  </si>
  <si>
    <t>Canale di distribuzione</t>
  </si>
  <si>
    <t>Lingua dell'utente</t>
  </si>
  <si>
    <t>Ragione sociale</t>
  </si>
  <si>
    <t>P.IVA/C.F.</t>
  </si>
  <si>
    <t>Numero dipendenti</t>
  </si>
  <si>
    <t>Settore</t>
  </si>
  <si>
    <t>Quotata in borsa</t>
  </si>
  <si>
    <t>Sede Legale</t>
  </si>
  <si>
    <t>Link sito web</t>
  </si>
  <si>
    <t>Anno di fondazione</t>
  </si>
  <si>
    <t>L’azienda appartiene a un gruppo societario (holding o gruppo di imprese)?</t>
  </si>
  <si>
    <t>Se appartenente a un gruppo, indicare nome della capogruppo o della holding</t>
  </si>
  <si>
    <t>Mercati di riferimento:</t>
  </si>
  <si>
    <t>Tipo di clientela:</t>
  </si>
  <si>
    <t>Le persone sono e si sentono libere di esprimere il proprio punto di vista e il proprio disaccordo?
ⓘ</t>
  </si>
  <si>
    <t>Esistono spazi e strumenti strutturati in cui le persone possano proporre miglioramenti?
ⓘ</t>
  </si>
  <si>
    <t>Il linguaggio interno tiene in considerazione le diverse identità quali ad esempio il genere, i background culturali, il livello di istruzione?
ⓘ</t>
  </si>
  <si>
    <t>Esistono procedure e policy formalizzate per prevenire, contrastare e  segnalare episodi di discriminazione, pregiudizio o microaggressioni? 
ⓘ</t>
  </si>
  <si>
    <t>L’organizzazione prende in considerazione il tema della sicurezza psicologica?
ⓘ</t>
  </si>
  <si>
    <t>La comunicazione interna è accessibile?
ⓘ</t>
  </si>
  <si>
    <t>È presente un programma di inserimento (onboarding) per persone neo-assunte che promuove il valore dell'inclusione?
ⓘ</t>
  </si>
  <si>
    <t>Sono presenti misure di flessibilità e conciliazione vita-lavoro per supportare tutte le persone?
ⓘ</t>
  </si>
  <si>
    <t>L'organizzazione monitora l’accesso e l’utilizzo dei congedi parentali e familiari?
ⓘ</t>
  </si>
  <si>
    <t>L’organizzazione riflette e agisce sul rapporto tra longevità lavorativa, avanzamenti di carriera, sostenibilità dei ruoli e benessere delle persone nelle diverse fasi della vita professionale?
ⓘ</t>
  </si>
  <si>
    <t>I processi HR considerano le specificità delle diverse identità, garantendo opportunità eque?
ⓘ</t>
  </si>
  <si>
    <t>L'organizzazione prevede formazione per promuovere opportunità eque di carriera e lo sviluppo continuo delle competenze professionali?
ⓘ</t>
  </si>
  <si>
    <t>Sono offerti percorsi di formazione strutturati su bias (pregiudizi inconsapevoli o automatismi) e relazioni consapevoli?
ⓘ</t>
  </si>
  <si>
    <t>I bias sono monitorati e l'organizzazione compie azioni per limitarne l'impatto nelle fasi chiave HR (selezione, performance, avanzamenti, retribuzioni)?
ⓘ</t>
  </si>
  <si>
    <t>Esistono strategie per attrarre, trattenere e valorizzare persone rappresentative delle diversità?
ⓘ</t>
  </si>
  <si>
    <t>Nell'organizzazione, la diversità è rappresentata in modo equilibrato nei diversi ruoli e funzioni?
ⓘ</t>
  </si>
  <si>
    <t>È implementata una politica di parità salariale con audit regolari?
ⓘ</t>
  </si>
  <si>
    <t>I flussi di lavoro sono documentati, accessibili e progettati per ridurre bias e barriere, favorendo equità tra le persone? ⓘ</t>
  </si>
  <si>
    <t>Le policy e le procedure organizzative tengono in considerazione la  DEIA?
ⓘ</t>
  </si>
  <si>
    <t>I processi e le policy organizzative sono progettati secondo principi di Universal Design e prevedono accomodamenti ragionevoli per garantire accessibilità e inclusione per tutte le persone, incluse quelle con disabilità o neurodiversità?
ⓘ</t>
  </si>
  <si>
    <t>Le tecnologie organizzative (sito web, intranet, piattaforme collaborative, sistemi HR, email, app) rispettano standard di accessibilità digitale per garantire pari opportunità di accesso e utilizzo a tutte le persone?
ⓘ</t>
  </si>
  <si>
    <t>Sono progettate e implementate soluzioni di accessibilità fisica per persone neurodivergenti o con disabilità visibili e invisibili?
ⓘ</t>
  </si>
  <si>
    <t>I sistemi  tech e digitali (es. AI, piattaforme HR, CRM) sono verificati per evitare bias o effetti discriminatori?
ⓘ</t>
  </si>
  <si>
    <t>La leadership promuove attivamente la DEIA con consapevolezza e responsabilità?
ⓘ</t>
  </si>
  <si>
    <t>La leadership è formata in modo strutturato su competenze legate a diversità, equità, inclusione e accessibilità?
ⓘ</t>
  </si>
  <si>
    <t>La leadership agisce in modo coerente rispetto ai valori DEIA dichiarati?
ⓘ</t>
  </si>
  <si>
    <t>Sono previsti specifici KPI di valutazione della leadership rispetto al raggiungimento di obiettivi legati alla diversificazione dei team e alla costruzione di ambienti di lavoro inclusivi?
ⓘ</t>
  </si>
  <si>
    <t>Le responsabilità DEIA sono chiaramente definite e distribuite nell’organizzazione, con la presenza di figure o strutture che ne coordinano la governance?
ⓘ</t>
  </si>
  <si>
    <t>La strategia, le azioni e i risultati riferibili alla DEIA sono comunicati con trasparenza verso tutti gli stakeholder interni ed esterni (dipendenti, clienti, fornitori, società civile,…)?
ⓘ</t>
  </si>
  <si>
    <t>La strategia di marketing e comunicazione esterna (PR, media, growth marketing) tiene in considerazione le diversità della società?
ⓘ</t>
  </si>
  <si>
    <t>Le campagne di comunicazione includono rappresentazione visiva e narrativa delle diversità (aspetto fisico, disabilità, età, etnia,  genere, LGBT+,  religione, status socio-economico)?
ⓘ</t>
  </si>
  <si>
    <t>Le campagne di comunicazione sono progettate per essere accessibili?
ⓘ</t>
  </si>
  <si>
    <t>L'impatto delle campagne di marketing e comunicazione è monitorato prendendo in considerazione le diversità?
ⓘ</t>
  </si>
  <si>
    <t>Il mercato riconosce l’impegno DEIA dell’organizzazione e questa percezione viene misurata e utilizzata per migliorare?
ⓘ</t>
  </si>
  <si>
    <t>La strategia di segmentazione di mercato prende in considerazione le diversità della customer base?
ⓘ</t>
  </si>
  <si>
    <t>I risultati di vendita/fatturato sono monitorati tenendo in considerazione la diversità della clientela?
ⓘ</t>
  </si>
  <si>
    <t>L'organizzazione considera i fattori di diversità, equità, inclusione e accessibilità quando realizza ricerche di mercato su brand equity, prodotto, servizi e comunicazione (es. survey, focus group)? ⓘ</t>
  </si>
  <si>
    <t>I team che si occupano dell'esperienza cliente e di sviluppo prodotti e servizi ricevono formazione sulle tematiche DEIA?
ⓘ</t>
  </si>
  <si>
    <t>I prodotti e i servizi sono progettati considerando le specificità delle diverse identità presenti nell'organizzazione?
ⓘ</t>
  </si>
  <si>
    <t>Le persone rappresentative delle diversità sono coinvolte nelle fasi di test e validazione di prodotti/servizi?
ⓘ</t>
  </si>
  <si>
    <t>L'esperienza cliente considera, in ogni punto di contatto, le persone rappresentative delle diversità nell'organizzazione?
ⓘ</t>
  </si>
  <si>
    <t>Gli spazi retail e gli spazi aperti al pubblico esterno sono accessibili fisicamente a persone con disabilità?
ⓘ</t>
  </si>
  <si>
    <t>I processi d'innovazione considerano le diversità, l'equità, l'inclusione e l'accessibilità?
ⓘ</t>
  </si>
  <si>
    <t>I team di ricerca e sviluppo, di marketing e comunicazione hanno competenze multidisciplinari e prospettive diversificate?
ⓘ</t>
  </si>
  <si>
    <t>Esistono linee guida etiche per l’utilizzo di AI e sistemi automatizzati rispetto a equità, trasparenza e non discriminazione?
ⓘ</t>
  </si>
  <si>
    <t>L’organizzazione misura l’impatto sociale di prodotti, servizi e della comunicazione?
ⓘ</t>
  </si>
  <si>
    <t>L’organizzazione promuove e/o realizza iniziative a beneficio della comunità?
ⓘ</t>
  </si>
  <si>
    <t>L’organizzazione partecipa attivamente a iniziative pubbliche a favore dell’inclusione e dei diritti umani?
ⓘ</t>
  </si>
  <si>
    <t>La politica di qualifica, selezione, rinnovo e audit dei fornitori prevede il rispetto dei criteri DEIA e li monitora nel tempo?
ⓘ</t>
  </si>
  <si>
    <t>L’organizzazione coinvolge fornitori e altri partner esterni in iniziative o attività relative alla DEIA?
ⓘ</t>
  </si>
  <si>
    <t>L’organizzazione conduce analisi periodiche dei bisogni legati alla DEIA?
ⓘ</t>
  </si>
  <si>
    <t>Sono presenti KPI per misurare e monitorare in modo strutturato le iniziative e le politiche DEIA?
ⓘ</t>
  </si>
  <si>
    <t>La DEIA è inclusa nei valori dell'organizzazione?
ⓘ</t>
  </si>
  <si>
    <t>La DEIA è integrata in modo strutturale nella visione strategica dell'organizzazione?
ⓘ</t>
  </si>
  <si>
    <t>L'organizzazione ha un piano strategico DEIA pluriennale con obiettivi chiari e misurabili?
ⓘ</t>
  </si>
  <si>
    <t>In che misura l'organizzazione assume decisioni finanziarie (es. budget, investimenti, incentivi) che tengono esplicitamente conto di obiettivi di diversità, equità, inclusione e accessibilità?
ⓘ</t>
  </si>
  <si>
    <t>IP Address</t>
  </si>
  <si>
    <t>101.57.107.122</t>
  </si>
  <si>
    <t>True</t>
  </si>
  <si>
    <t>R_8o4Qsa48kJMegYo</t>
  </si>
  <si>
    <t/>
  </si>
  <si>
    <t>anonymous</t>
  </si>
  <si>
    <t>IT</t>
  </si>
  <si>
    <t>GM Spa</t>
  </si>
  <si>
    <t>MSCGTT29C51GFT6</t>
  </si>
  <si>
    <t>Da 10 a 49</t>
  </si>
  <si>
    <t>Chimica, farmaceutica e biotech</t>
  </si>
  <si>
    <t>No</t>
  </si>
  <si>
    <t>CESENA</t>
  </si>
  <si>
    <t>ND</t>
  </si>
  <si>
    <t>2021</t>
  </si>
  <si>
    <t>Italia</t>
  </si>
  <si>
    <t>B2C - Business to Consumer</t>
  </si>
  <si>
    <t>3</t>
  </si>
  <si>
    <t>1</t>
  </si>
  <si>
    <t>2</t>
  </si>
  <si>
    <t>4</t>
  </si>
  <si>
    <t>Nome azienda</t>
  </si>
  <si>
    <t>Foundation</t>
  </si>
  <si>
    <t>Onboarding &amp; Retention</t>
  </si>
  <si>
    <t>Employment</t>
  </si>
  <si>
    <t>Employees Engagement</t>
  </si>
  <si>
    <t>Education &amp; Training</t>
  </si>
  <si>
    <t>Non-discrimination</t>
  </si>
  <si>
    <t>Monitoring</t>
  </si>
  <si>
    <t>Supply Chain</t>
  </si>
  <si>
    <t>Communities</t>
  </si>
  <si>
    <t>End-users</t>
  </si>
  <si>
    <t>Religione e credo</t>
  </si>
  <si>
    <t>Disabilità</t>
  </si>
  <si>
    <t>Generazioni ed età</t>
  </si>
  <si>
    <t>Etnia</t>
  </si>
  <si>
    <t>Genere</t>
  </si>
  <si>
    <t>LGBTQIA+</t>
  </si>
  <si>
    <t>Status socio-economico</t>
  </si>
  <si>
    <t>Aspetto Fisico</t>
  </si>
  <si>
    <t>Media settore</t>
  </si>
  <si>
    <t>company 1</t>
  </si>
  <si>
    <t>company 2</t>
  </si>
  <si>
    <t>company 3</t>
  </si>
  <si>
    <t>company 4</t>
  </si>
  <si>
    <t>company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</si>
</sst>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 (Corpo)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49" fontId="0" fillId="6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0-DATASET_REPORTING_DEIA_IVECO.xlsx" TargetMode="External"/><Relationship Id="rId2" Type="http://schemas.openxmlformats.org/officeDocument/2006/relationships/externalLinkPath" Target="file:///C:\Users\danie\Downloads\000-DATASET_REPORTING_DEIA_IVECO.xlsx" TargetMode="External"/><Relationship Id="rId1" Type="http://schemas.openxmlformats.org/officeDocument/2006/relationships/externalLinkPath" Target="/Users/danie/Downloads/000-DATASET_REPORTING_DEIA_IVE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genda e istruzioni"/>
      <sheetName val="Dataset_reporting_Membership"/>
      <sheetName val="Iveco_Deep"/>
      <sheetName val="Note_1"/>
      <sheetName val="Grafici_1"/>
      <sheetName val="Competitor IVECO"/>
      <sheetName val="Livelli_Maturità_Extended Light"/>
      <sheetName val="Livelli_Maturità_Extended Deep"/>
      <sheetName val="Scoring"/>
      <sheetName val="Dashboard_4Aree"/>
      <sheetName val="Macro_Aree"/>
      <sheetName val="Chart_Data"/>
      <sheetName val="Appunti"/>
      <sheetName val="Note_2"/>
      <sheetName val="Grafici_2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4</v>
          </cell>
          <cell r="J2">
            <v>3</v>
          </cell>
          <cell r="K2">
            <v>3</v>
          </cell>
          <cell r="L2">
            <v>4</v>
          </cell>
          <cell r="M2">
            <v>4</v>
          </cell>
          <cell r="N2">
            <v>3</v>
          </cell>
          <cell r="O2">
            <v>4</v>
          </cell>
          <cell r="P2">
            <v>3</v>
          </cell>
          <cell r="Q2">
            <v>4</v>
          </cell>
          <cell r="R2">
            <v>3</v>
          </cell>
          <cell r="T2">
            <v>1</v>
          </cell>
          <cell r="U2">
            <v>4</v>
          </cell>
          <cell r="V2">
            <v>3</v>
          </cell>
          <cell r="W2">
            <v>4</v>
          </cell>
          <cell r="X2">
            <v>4</v>
          </cell>
          <cell r="Y2">
            <v>3</v>
          </cell>
          <cell r="Z2">
            <v>3</v>
          </cell>
          <cell r="AA2">
            <v>1</v>
          </cell>
        </row>
        <row r="3">
          <cell r="I3">
            <v>4</v>
          </cell>
          <cell r="J3">
            <v>3</v>
          </cell>
          <cell r="K3">
            <v>4</v>
          </cell>
          <cell r="L3">
            <v>3</v>
          </cell>
          <cell r="M3">
            <v>3</v>
          </cell>
          <cell r="N3">
            <v>4</v>
          </cell>
          <cell r="O3">
            <v>4</v>
          </cell>
          <cell r="P3">
            <v>4</v>
          </cell>
          <cell r="Q3">
            <v>3</v>
          </cell>
          <cell r="R3">
            <v>2</v>
          </cell>
          <cell r="T3">
            <v>2</v>
          </cell>
          <cell r="U3">
            <v>3</v>
          </cell>
          <cell r="V3">
            <v>3</v>
          </cell>
          <cell r="W3">
            <v>3</v>
          </cell>
          <cell r="X3">
            <v>4</v>
          </cell>
          <cell r="Y3">
            <v>3</v>
          </cell>
          <cell r="Z3">
            <v>2</v>
          </cell>
          <cell r="AA3">
            <v>1</v>
          </cell>
        </row>
        <row r="4">
          <cell r="I4">
            <v>4</v>
          </cell>
          <cell r="J4">
            <v>3</v>
          </cell>
          <cell r="K4">
            <v>3</v>
          </cell>
          <cell r="L4">
            <v>3</v>
          </cell>
          <cell r="M4">
            <v>3</v>
          </cell>
          <cell r="N4">
            <v>3</v>
          </cell>
          <cell r="O4">
            <v>4</v>
          </cell>
          <cell r="P4">
            <v>4</v>
          </cell>
          <cell r="Q4">
            <v>3</v>
          </cell>
          <cell r="R4">
            <v>2</v>
          </cell>
          <cell r="T4">
            <v>2</v>
          </cell>
          <cell r="U4">
            <v>4</v>
          </cell>
          <cell r="V4">
            <v>3</v>
          </cell>
          <cell r="W4">
            <v>2</v>
          </cell>
          <cell r="X4">
            <v>4</v>
          </cell>
          <cell r="Y4">
            <v>3</v>
          </cell>
          <cell r="Z4">
            <v>3</v>
          </cell>
          <cell r="AA4">
            <v>1</v>
          </cell>
        </row>
        <row r="5">
          <cell r="I5">
            <v>4</v>
          </cell>
          <cell r="J5">
            <v>3</v>
          </cell>
          <cell r="K5">
            <v>4</v>
          </cell>
          <cell r="L5">
            <v>4</v>
          </cell>
          <cell r="M5">
            <v>3</v>
          </cell>
          <cell r="N5">
            <v>4</v>
          </cell>
          <cell r="O5">
            <v>4</v>
          </cell>
          <cell r="P5">
            <v>4</v>
          </cell>
          <cell r="Q5">
            <v>3</v>
          </cell>
          <cell r="R5">
            <v>2</v>
          </cell>
          <cell r="T5">
            <v>2</v>
          </cell>
          <cell r="U5">
            <v>2</v>
          </cell>
          <cell r="V5">
            <v>3</v>
          </cell>
          <cell r="W5">
            <v>2</v>
          </cell>
          <cell r="X5">
            <v>4</v>
          </cell>
          <cell r="Y5">
            <v>2</v>
          </cell>
          <cell r="Z5">
            <v>2</v>
          </cell>
          <cell r="AA5">
            <v>1</v>
          </cell>
        </row>
        <row r="6">
          <cell r="I6">
            <v>4</v>
          </cell>
          <cell r="J6">
            <v>3</v>
          </cell>
          <cell r="K6">
            <v>4</v>
          </cell>
          <cell r="L6">
            <v>3</v>
          </cell>
          <cell r="M6">
            <v>3</v>
          </cell>
          <cell r="N6">
            <v>4</v>
          </cell>
          <cell r="O6">
            <v>4</v>
          </cell>
          <cell r="P6">
            <v>4</v>
          </cell>
          <cell r="Q6">
            <v>4</v>
          </cell>
          <cell r="R6">
            <v>2</v>
          </cell>
          <cell r="T6">
            <v>2</v>
          </cell>
          <cell r="U6">
            <v>2</v>
          </cell>
          <cell r="V6">
            <v>3</v>
          </cell>
          <cell r="W6">
            <v>2</v>
          </cell>
          <cell r="X6">
            <v>4</v>
          </cell>
          <cell r="Y6">
            <v>2</v>
          </cell>
          <cell r="Z6">
            <v>2</v>
          </cell>
          <cell r="AA6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"/>
  <sheetViews>
    <sheetView topLeftCell="C1" zoomScale="79" zoomScaleNormal="79" workbookViewId="0">
      <selection activeCell="C24" sqref="C24"/>
    </sheetView>
  </sheetViews>
  <sheetFormatPr defaultColWidth="8.84375" defaultRowHeight="14.6"/>
  <cols>
    <col min="1" max="18" width="14.4609375" customWidth="1"/>
    <col min="19" max="22" width="20" customWidth="1"/>
  </cols>
  <sheetData>
    <row r="1" spans="1: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</row>
    <row r="2" spans="1:85">
      <c r="A2" s="3" t="s">
        <v>85</v>
      </c>
      <c r="B2" s="3" t="s">
        <v>86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107</v>
      </c>
      <c r="X2" s="3" t="s">
        <v>108</v>
      </c>
      <c r="Y2" s="3" t="s">
        <v>109</v>
      </c>
      <c r="Z2" s="3" t="s">
        <v>110</v>
      </c>
      <c r="AA2" s="3" t="s">
        <v>111</v>
      </c>
      <c r="AB2" s="3" t="s">
        <v>112</v>
      </c>
      <c r="AC2" s="3" t="s">
        <v>113</v>
      </c>
      <c r="AD2" s="3" t="s">
        <v>114</v>
      </c>
      <c r="AE2" s="3" t="s">
        <v>115</v>
      </c>
      <c r="AF2" s="3" t="s">
        <v>116</v>
      </c>
      <c r="AG2" s="3" t="s">
        <v>117</v>
      </c>
      <c r="AH2" s="3" t="s">
        <v>118</v>
      </c>
      <c r="AI2" s="3" t="s">
        <v>119</v>
      </c>
      <c r="AJ2" s="3" t="s">
        <v>120</v>
      </c>
      <c r="AK2" s="3" t="s">
        <v>121</v>
      </c>
      <c r="AL2" s="3" t="s">
        <v>122</v>
      </c>
      <c r="AM2" s="3" t="s">
        <v>123</v>
      </c>
      <c r="AN2" s="3" t="s">
        <v>124</v>
      </c>
      <c r="AO2" s="3" t="s">
        <v>125</v>
      </c>
      <c r="AP2" s="3" t="s">
        <v>126</v>
      </c>
      <c r="AQ2" s="3" t="s">
        <v>127</v>
      </c>
      <c r="AR2" s="3" t="s">
        <v>128</v>
      </c>
      <c r="AS2" s="3" t="s">
        <v>129</v>
      </c>
      <c r="AT2" s="3" t="s">
        <v>130</v>
      </c>
      <c r="AU2" s="3" t="s">
        <v>131</v>
      </c>
      <c r="AV2" s="3" t="s">
        <v>132</v>
      </c>
      <c r="AW2" s="3" t="s">
        <v>133</v>
      </c>
      <c r="AX2" s="3" t="s">
        <v>134</v>
      </c>
      <c r="AY2" s="3" t="s">
        <v>135</v>
      </c>
      <c r="AZ2" s="3" t="s">
        <v>136</v>
      </c>
      <c r="BA2" s="3" t="s">
        <v>137</v>
      </c>
      <c r="BB2" s="3" t="s">
        <v>138</v>
      </c>
      <c r="BC2" s="3" t="s">
        <v>139</v>
      </c>
      <c r="BD2" s="3" t="s">
        <v>140</v>
      </c>
      <c r="BE2" s="3" t="s">
        <v>141</v>
      </c>
      <c r="BF2" s="3" t="s">
        <v>142</v>
      </c>
      <c r="BG2" s="3" t="s">
        <v>143</v>
      </c>
      <c r="BH2" s="3" t="s">
        <v>144</v>
      </c>
      <c r="BI2" s="3" t="s">
        <v>145</v>
      </c>
      <c r="BJ2" s="3" t="s">
        <v>146</v>
      </c>
      <c r="BK2" s="3" t="s">
        <v>147</v>
      </c>
      <c r="BL2" s="3" t="s">
        <v>148</v>
      </c>
      <c r="BM2" s="3" t="s">
        <v>149</v>
      </c>
      <c r="BN2" s="3" t="s">
        <v>150</v>
      </c>
      <c r="BO2" s="3" t="s">
        <v>151</v>
      </c>
      <c r="BP2" s="3" t="s">
        <v>152</v>
      </c>
      <c r="BQ2" s="3" t="s">
        <v>153</v>
      </c>
      <c r="BR2" s="3" t="s">
        <v>154</v>
      </c>
      <c r="BS2" s="3" t="s">
        <v>155</v>
      </c>
      <c r="BT2" s="3" t="s">
        <v>156</v>
      </c>
      <c r="BU2" s="3" t="s">
        <v>157</v>
      </c>
      <c r="BV2" s="3" t="s">
        <v>158</v>
      </c>
      <c r="BW2" s="3" t="s">
        <v>159</v>
      </c>
      <c r="BX2" s="3" t="s">
        <v>160</v>
      </c>
      <c r="BY2" s="3" t="s">
        <v>161</v>
      </c>
      <c r="BZ2" s="3" t="s">
        <v>162</v>
      </c>
      <c r="CA2" s="3" t="s">
        <v>163</v>
      </c>
      <c r="CB2" s="3" t="s">
        <v>164</v>
      </c>
      <c r="CC2" s="3" t="s">
        <v>165</v>
      </c>
      <c r="CD2" s="3" t="s">
        <v>166</v>
      </c>
      <c r="CE2" s="3" t="s">
        <v>167</v>
      </c>
      <c r="CF2" s="3" t="s">
        <v>168</v>
      </c>
      <c r="CG2" s="3" t="s">
        <v>169</v>
      </c>
    </row>
    <row r="3" spans="1:85" ht="72.900000000000006">
      <c r="A3" s="1">
        <v>46191.428807870368</v>
      </c>
      <c r="B3" s="1">
        <v>46191.440335648149</v>
      </c>
      <c r="C3" s="2" t="s">
        <v>170</v>
      </c>
      <c r="D3" s="2" t="s">
        <v>171</v>
      </c>
      <c r="E3">
        <v>100</v>
      </c>
      <c r="F3">
        <v>995</v>
      </c>
      <c r="G3" s="2" t="s">
        <v>172</v>
      </c>
      <c r="H3" s="1">
        <v>46191.440347152777</v>
      </c>
      <c r="I3" s="2" t="s">
        <v>173</v>
      </c>
      <c r="J3" s="2" t="s">
        <v>174</v>
      </c>
      <c r="K3" s="2" t="s">
        <v>174</v>
      </c>
      <c r="L3" s="2" t="s">
        <v>174</v>
      </c>
      <c r="M3" s="2" t="s">
        <v>174</v>
      </c>
      <c r="N3">
        <v>44.414299999999997</v>
      </c>
      <c r="O3">
        <v>12.2134</v>
      </c>
      <c r="P3" s="2" t="s">
        <v>175</v>
      </c>
      <c r="Q3" s="2" t="s">
        <v>176</v>
      </c>
      <c r="R3" s="2" t="s">
        <v>177</v>
      </c>
      <c r="S3" s="2" t="s">
        <v>178</v>
      </c>
      <c r="T3" s="2" t="s">
        <v>179</v>
      </c>
      <c r="U3" s="2" t="s">
        <v>180</v>
      </c>
      <c r="V3" s="2" t="s">
        <v>181</v>
      </c>
      <c r="W3" s="2" t="s">
        <v>182</v>
      </c>
      <c r="X3" s="2" t="s">
        <v>183</v>
      </c>
      <c r="Y3" s="2" t="s">
        <v>184</v>
      </c>
      <c r="Z3" s="2" t="s">
        <v>181</v>
      </c>
      <c r="AA3" s="2" t="s">
        <v>174</v>
      </c>
      <c r="AB3" s="2" t="s">
        <v>185</v>
      </c>
      <c r="AC3" s="2" t="s">
        <v>186</v>
      </c>
      <c r="AD3" s="2" t="s">
        <v>187</v>
      </c>
      <c r="AE3" s="2" t="s">
        <v>188</v>
      </c>
      <c r="AF3" s="2" t="s">
        <v>187</v>
      </c>
      <c r="AG3" s="2" t="s">
        <v>189</v>
      </c>
      <c r="AH3" s="2" t="s">
        <v>190</v>
      </c>
      <c r="AI3" s="2" t="s">
        <v>189</v>
      </c>
      <c r="AJ3" s="2" t="s">
        <v>189</v>
      </c>
      <c r="AK3" s="2" t="s">
        <v>187</v>
      </c>
      <c r="AL3" s="2" t="s">
        <v>188</v>
      </c>
      <c r="AM3" s="2" t="s">
        <v>189</v>
      </c>
      <c r="AN3" s="2" t="s">
        <v>189</v>
      </c>
      <c r="AO3" s="2" t="s">
        <v>188</v>
      </c>
      <c r="AP3" s="2" t="s">
        <v>189</v>
      </c>
      <c r="AQ3" s="2" t="s">
        <v>190</v>
      </c>
      <c r="AR3" s="2" t="s">
        <v>187</v>
      </c>
      <c r="AS3" s="2" t="s">
        <v>189</v>
      </c>
      <c r="AT3" s="2" t="s">
        <v>189</v>
      </c>
      <c r="AU3" s="2" t="s">
        <v>189</v>
      </c>
      <c r="AV3" s="2" t="s">
        <v>189</v>
      </c>
      <c r="AW3" s="2" t="s">
        <v>189</v>
      </c>
      <c r="AX3" s="2" t="s">
        <v>189</v>
      </c>
      <c r="AY3" s="2" t="s">
        <v>188</v>
      </c>
      <c r="AZ3" s="2" t="s">
        <v>188</v>
      </c>
      <c r="BA3" s="2" t="s">
        <v>189</v>
      </c>
      <c r="BB3" s="2" t="s">
        <v>189</v>
      </c>
      <c r="BC3" s="2" t="s">
        <v>189</v>
      </c>
      <c r="BD3" s="2" t="s">
        <v>188</v>
      </c>
      <c r="BE3" s="2" t="s">
        <v>189</v>
      </c>
      <c r="BF3" s="2" t="s">
        <v>189</v>
      </c>
      <c r="BG3" s="2" t="s">
        <v>190</v>
      </c>
      <c r="BH3" s="2" t="s">
        <v>189</v>
      </c>
      <c r="BI3" s="2" t="s">
        <v>189</v>
      </c>
      <c r="BJ3" s="2" t="s">
        <v>188</v>
      </c>
      <c r="BK3" s="2" t="s">
        <v>188</v>
      </c>
      <c r="BL3" s="2" t="s">
        <v>189</v>
      </c>
      <c r="BM3" s="2" t="s">
        <v>189</v>
      </c>
      <c r="BN3" s="2" t="s">
        <v>188</v>
      </c>
      <c r="BO3" s="2" t="s">
        <v>189</v>
      </c>
      <c r="BP3" s="2" t="s">
        <v>189</v>
      </c>
      <c r="BQ3" s="2" t="s">
        <v>189</v>
      </c>
      <c r="BR3" s="2" t="s">
        <v>187</v>
      </c>
      <c r="BS3" s="2" t="s">
        <v>189</v>
      </c>
      <c r="BT3" s="2" t="s">
        <v>187</v>
      </c>
      <c r="BU3" s="2" t="s">
        <v>189</v>
      </c>
      <c r="BV3" s="2" t="s">
        <v>189</v>
      </c>
      <c r="BW3" s="2" t="s">
        <v>189</v>
      </c>
      <c r="BX3" s="2" t="s">
        <v>190</v>
      </c>
      <c r="BY3" s="2" t="s">
        <v>190</v>
      </c>
      <c r="BZ3" s="2" t="s">
        <v>189</v>
      </c>
      <c r="CA3" s="2" t="s">
        <v>189</v>
      </c>
      <c r="CB3" s="2" t="s">
        <v>187</v>
      </c>
      <c r="CC3" s="2" t="s">
        <v>187</v>
      </c>
      <c r="CD3" s="2" t="s">
        <v>189</v>
      </c>
      <c r="CE3" s="2" t="s">
        <v>189</v>
      </c>
      <c r="CF3" s="2" t="s">
        <v>187</v>
      </c>
      <c r="CG3" s="2" t="s">
        <v>188</v>
      </c>
    </row>
  </sheetData>
  <pageMargins left="0.7" right="0.7" top="0.75" bottom="0.75" header="0.3" footer="0.3"/>
  <ignoredErrors>
    <ignoredError sqref="C1:C3 D1:D3 G1:G3 I1:I3 J1:J3 K1:K3 L1:L3 M1:M3 P1:P3 Q1:Q3 R1:R3 S1:S3 T1:T3 U1:U3 V1:V3 W1:W3 X1:X3 Y1:Y3 Z1:Z3 AA1:AA3 AB1:AB3 AC1:AC3 AD1:AD3 AE1:AE3 AF1:AF3 AG1:AG3 AH1:AH3 AI1:AI3 AJ1:AJ3 AK1:AK3 AL1:AL3 AM1:AM3 AN1:AN3 AO1:AO3 AP1:AP3 AQ1:AQ3 AR1:AR3 AS1:AS3 AT1:AT3 AU1:AU3 AV1:AV3 AW1:AW3 AX1:AX3 AY1:AY3 AZ1:AZ3 BA1:BA3 BB1:BB3 BC1:BC3 BD1:BD3 BE1:BE3 BF1:BF3 BG1:BG3 BH1:BH3 BI1:BI3 BJ1:BJ3 BK1:BK3 BL1:BL3 BM1:BM3 BN1:BN3 BO1:BO3 BP1:BP3 BQ1:BQ3 BR1:BR3 BS1:BS3 BT1:BT3 BU1:BU3 BV1:BV3 BW1:BW3 BX1:BX3 BY1:BY3 BZ1:BZ3 CA1:CA3 CB1:CB3 CC1:CC3 CD1:CD3 CE1:CE3 CF1:CF3 CG1:CG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DAA8-0615-4952-89D3-852ECF62FEF6}">
  <dimension ref="A1:S2"/>
  <sheetViews>
    <sheetView tabSelected="1" workbookViewId="0">
      <selection activeCell="A2" sqref="A2"/>
    </sheetView>
  </sheetViews>
  <sheetFormatPr defaultRowHeight="14.6"/>
  <cols>
    <col min="1" max="1" width="15.765625" customWidth="1"/>
    <col min="12" max="12" width="12.61328125" customWidth="1"/>
  </cols>
  <sheetData>
    <row r="1" spans="1:19" ht="30.9" customHeight="1">
      <c r="A1" s="4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  <c r="I1" s="5" t="s">
        <v>199</v>
      </c>
      <c r="J1" s="5" t="s">
        <v>200</v>
      </c>
      <c r="K1" s="5" t="s">
        <v>201</v>
      </c>
      <c r="L1" s="6" t="s">
        <v>202</v>
      </c>
      <c r="M1" s="6" t="s">
        <v>203</v>
      </c>
      <c r="N1" s="6" t="s">
        <v>204</v>
      </c>
      <c r="O1" s="6" t="s">
        <v>205</v>
      </c>
      <c r="P1" s="6" t="s">
        <v>206</v>
      </c>
      <c r="Q1" s="6" t="s">
        <v>207</v>
      </c>
      <c r="R1" s="6" t="s">
        <v>208</v>
      </c>
      <c r="S1" s="6" t="s">
        <v>209</v>
      </c>
    </row>
    <row r="2" spans="1:19" ht="21.45" customHeight="1">
      <c r="A2" s="9" t="str">
        <f>Qualtrix_output!R3</f>
        <v>GM Spa</v>
      </c>
      <c r="B2">
        <v>4</v>
      </c>
      <c r="C2">
        <v>3</v>
      </c>
      <c r="D2">
        <v>4</v>
      </c>
      <c r="E2">
        <v>3</v>
      </c>
      <c r="F2">
        <v>3</v>
      </c>
      <c r="G2">
        <v>3</v>
      </c>
      <c r="H2">
        <v>4</v>
      </c>
      <c r="I2">
        <v>3</v>
      </c>
      <c r="J2">
        <v>4</v>
      </c>
      <c r="K2">
        <v>3</v>
      </c>
      <c r="L2">
        <v>2</v>
      </c>
      <c r="M2">
        <v>3</v>
      </c>
      <c r="N2">
        <v>3</v>
      </c>
      <c r="O2">
        <v>2</v>
      </c>
      <c r="P2">
        <v>4</v>
      </c>
      <c r="Q2">
        <v>2</v>
      </c>
      <c r="R2">
        <v>2</v>
      </c>
      <c r="S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00D9-2994-4219-A0F4-83ABA0813A91}">
  <dimension ref="A1:S7"/>
  <sheetViews>
    <sheetView workbookViewId="0">
      <selection activeCell="C10" sqref="C10"/>
    </sheetView>
  </sheetViews>
  <sheetFormatPr defaultRowHeight="14.6"/>
  <cols>
    <col min="1" max="1" width="22.53515625" customWidth="1"/>
  </cols>
  <sheetData>
    <row r="1" spans="1:19" ht="56.6">
      <c r="A1" s="4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196</v>
      </c>
      <c r="G1" s="5" t="s">
        <v>197</v>
      </c>
      <c r="H1" s="5" t="s">
        <v>198</v>
      </c>
      <c r="I1" s="5" t="s">
        <v>199</v>
      </c>
      <c r="J1" s="5" t="s">
        <v>200</v>
      </c>
      <c r="K1" s="5" t="s">
        <v>201</v>
      </c>
      <c r="L1" s="6" t="s">
        <v>202</v>
      </c>
      <c r="M1" s="6" t="s">
        <v>203</v>
      </c>
      <c r="N1" s="6" t="s">
        <v>204</v>
      </c>
      <c r="O1" s="6" t="s">
        <v>205</v>
      </c>
      <c r="P1" s="6" t="s">
        <v>206</v>
      </c>
      <c r="Q1" s="6" t="s">
        <v>207</v>
      </c>
      <c r="R1" s="6" t="s">
        <v>208</v>
      </c>
      <c r="S1" s="6" t="s">
        <v>209</v>
      </c>
    </row>
    <row r="2" spans="1:19">
      <c r="A2" s="7" t="s">
        <v>211</v>
      </c>
      <c r="B2" s="7">
        <f>'[1]Competitor IVECO'!I2</f>
        <v>4</v>
      </c>
      <c r="C2" s="7">
        <f>'[1]Competitor IVECO'!J2</f>
        <v>3</v>
      </c>
      <c r="D2" s="7">
        <f>'[1]Competitor IVECO'!K2</f>
        <v>3</v>
      </c>
      <c r="E2" s="7">
        <f>'[1]Competitor IVECO'!L2</f>
        <v>4</v>
      </c>
      <c r="F2" s="7">
        <f>'[1]Competitor IVECO'!M2</f>
        <v>4</v>
      </c>
      <c r="G2" s="7">
        <f>'[1]Competitor IVECO'!N2</f>
        <v>3</v>
      </c>
      <c r="H2" s="7">
        <f>'[1]Competitor IVECO'!O2</f>
        <v>4</v>
      </c>
      <c r="I2" s="7">
        <f>'[1]Competitor IVECO'!P2</f>
        <v>3</v>
      </c>
      <c r="J2" s="7">
        <f>'[1]Competitor IVECO'!Q2</f>
        <v>4</v>
      </c>
      <c r="K2" s="7">
        <f>'[1]Competitor IVECO'!R2</f>
        <v>3</v>
      </c>
      <c r="L2" s="7">
        <f>'[1]Competitor IVECO'!T2</f>
        <v>1</v>
      </c>
      <c r="M2" s="7">
        <f>'[1]Competitor IVECO'!U2</f>
        <v>4</v>
      </c>
      <c r="N2" s="7">
        <f>'[1]Competitor IVECO'!V2</f>
        <v>3</v>
      </c>
      <c r="O2" s="7">
        <f>'[1]Competitor IVECO'!W2</f>
        <v>4</v>
      </c>
      <c r="P2" s="7">
        <f>'[1]Competitor IVECO'!X2</f>
        <v>4</v>
      </c>
      <c r="Q2" s="7">
        <f>'[1]Competitor IVECO'!Y2</f>
        <v>3</v>
      </c>
      <c r="R2" s="7">
        <f>'[1]Competitor IVECO'!Z2</f>
        <v>3</v>
      </c>
      <c r="S2" s="7">
        <f>'[1]Competitor IVECO'!AA2</f>
        <v>1</v>
      </c>
    </row>
    <row r="3" spans="1:19">
      <c r="A3" s="7" t="s">
        <v>212</v>
      </c>
      <c r="B3" s="7">
        <f>'[1]Competitor IVECO'!I3</f>
        <v>4</v>
      </c>
      <c r="C3" s="7">
        <f>'[1]Competitor IVECO'!J3</f>
        <v>3</v>
      </c>
      <c r="D3" s="7">
        <f>'[1]Competitor IVECO'!K3</f>
        <v>4</v>
      </c>
      <c r="E3" s="7">
        <f>'[1]Competitor IVECO'!L3</f>
        <v>3</v>
      </c>
      <c r="F3" s="7">
        <f>'[1]Competitor IVECO'!M3</f>
        <v>3</v>
      </c>
      <c r="G3" s="7">
        <f>'[1]Competitor IVECO'!N3</f>
        <v>4</v>
      </c>
      <c r="H3" s="7">
        <f>'[1]Competitor IVECO'!O3</f>
        <v>4</v>
      </c>
      <c r="I3" s="7">
        <f>'[1]Competitor IVECO'!P3</f>
        <v>4</v>
      </c>
      <c r="J3" s="7">
        <f>'[1]Competitor IVECO'!Q3</f>
        <v>3</v>
      </c>
      <c r="K3" s="7">
        <f>'[1]Competitor IVECO'!R3</f>
        <v>2</v>
      </c>
      <c r="L3" s="7">
        <f>'[1]Competitor IVECO'!T3</f>
        <v>2</v>
      </c>
      <c r="M3" s="7">
        <f>'[1]Competitor IVECO'!U3</f>
        <v>3</v>
      </c>
      <c r="N3" s="7">
        <f>'[1]Competitor IVECO'!V3</f>
        <v>3</v>
      </c>
      <c r="O3" s="7">
        <f>'[1]Competitor IVECO'!W3</f>
        <v>3</v>
      </c>
      <c r="P3" s="7">
        <f>'[1]Competitor IVECO'!X3</f>
        <v>4</v>
      </c>
      <c r="Q3" s="7">
        <f>'[1]Competitor IVECO'!Y3</f>
        <v>3</v>
      </c>
      <c r="R3" s="7">
        <f>'[1]Competitor IVECO'!Z3</f>
        <v>2</v>
      </c>
      <c r="S3" s="7">
        <f>'[1]Competitor IVECO'!AA3</f>
        <v>1</v>
      </c>
    </row>
    <row r="4" spans="1:19">
      <c r="A4" s="7" t="s">
        <v>213</v>
      </c>
      <c r="B4" s="7">
        <f>'[1]Competitor IVECO'!I4</f>
        <v>4</v>
      </c>
      <c r="C4" s="7">
        <f>'[1]Competitor IVECO'!J4</f>
        <v>3</v>
      </c>
      <c r="D4" s="7">
        <f>'[1]Competitor IVECO'!K4</f>
        <v>3</v>
      </c>
      <c r="E4" s="7">
        <f>'[1]Competitor IVECO'!L4</f>
        <v>3</v>
      </c>
      <c r="F4" s="7">
        <f>'[1]Competitor IVECO'!M4</f>
        <v>3</v>
      </c>
      <c r="G4" s="7">
        <f>'[1]Competitor IVECO'!N4</f>
        <v>3</v>
      </c>
      <c r="H4" s="7">
        <f>'[1]Competitor IVECO'!O4</f>
        <v>4</v>
      </c>
      <c r="I4" s="7">
        <f>'[1]Competitor IVECO'!P4</f>
        <v>4</v>
      </c>
      <c r="J4" s="7">
        <f>'[1]Competitor IVECO'!Q4</f>
        <v>3</v>
      </c>
      <c r="K4" s="7">
        <f>'[1]Competitor IVECO'!R4</f>
        <v>2</v>
      </c>
      <c r="L4" s="7">
        <f>'[1]Competitor IVECO'!T4</f>
        <v>2</v>
      </c>
      <c r="M4" s="7">
        <f>'[1]Competitor IVECO'!U4</f>
        <v>4</v>
      </c>
      <c r="N4" s="7">
        <f>'[1]Competitor IVECO'!V4</f>
        <v>3</v>
      </c>
      <c r="O4" s="7">
        <f>'[1]Competitor IVECO'!W4</f>
        <v>2</v>
      </c>
      <c r="P4" s="7">
        <f>'[1]Competitor IVECO'!X4</f>
        <v>4</v>
      </c>
      <c r="Q4" s="7">
        <f>'[1]Competitor IVECO'!Y4</f>
        <v>3</v>
      </c>
      <c r="R4" s="7">
        <f>'[1]Competitor IVECO'!Z4</f>
        <v>3</v>
      </c>
      <c r="S4" s="7">
        <f>'[1]Competitor IVECO'!AA4</f>
        <v>1</v>
      </c>
    </row>
    <row r="5" spans="1:19">
      <c r="A5" s="7" t="s">
        <v>214</v>
      </c>
      <c r="B5" s="7">
        <f>'[1]Competitor IVECO'!I5</f>
        <v>4</v>
      </c>
      <c r="C5" s="7">
        <f>'[1]Competitor IVECO'!J5</f>
        <v>3</v>
      </c>
      <c r="D5" s="7">
        <f>'[1]Competitor IVECO'!K5</f>
        <v>4</v>
      </c>
      <c r="E5" s="7">
        <f>'[1]Competitor IVECO'!L5</f>
        <v>4</v>
      </c>
      <c r="F5" s="7">
        <f>'[1]Competitor IVECO'!M5</f>
        <v>3</v>
      </c>
      <c r="G5" s="7">
        <f>'[1]Competitor IVECO'!N5</f>
        <v>4</v>
      </c>
      <c r="H5" s="7">
        <f>'[1]Competitor IVECO'!O5</f>
        <v>4</v>
      </c>
      <c r="I5" s="7">
        <f>'[1]Competitor IVECO'!P5</f>
        <v>4</v>
      </c>
      <c r="J5" s="7">
        <f>'[1]Competitor IVECO'!Q5</f>
        <v>3</v>
      </c>
      <c r="K5" s="7">
        <f>'[1]Competitor IVECO'!R5</f>
        <v>2</v>
      </c>
      <c r="L5" s="7">
        <f>'[1]Competitor IVECO'!T5</f>
        <v>2</v>
      </c>
      <c r="M5" s="7">
        <f>'[1]Competitor IVECO'!U5</f>
        <v>2</v>
      </c>
      <c r="N5" s="7">
        <f>'[1]Competitor IVECO'!V5</f>
        <v>3</v>
      </c>
      <c r="O5" s="7">
        <f>'[1]Competitor IVECO'!W5</f>
        <v>2</v>
      </c>
      <c r="P5" s="7">
        <f>'[1]Competitor IVECO'!X5</f>
        <v>4</v>
      </c>
      <c r="Q5" s="7">
        <f>'[1]Competitor IVECO'!Y5</f>
        <v>2</v>
      </c>
      <c r="R5" s="7">
        <f>'[1]Competitor IVECO'!Z5</f>
        <v>2</v>
      </c>
      <c r="S5" s="7">
        <f>'[1]Competitor IVECO'!AA5</f>
        <v>1</v>
      </c>
    </row>
    <row r="6" spans="1:19">
      <c r="A6" s="7" t="s">
        <v>215</v>
      </c>
      <c r="B6" s="7">
        <f>'[1]Competitor IVECO'!I6</f>
        <v>4</v>
      </c>
      <c r="C6" s="7">
        <f>'[1]Competitor IVECO'!J6</f>
        <v>3</v>
      </c>
      <c r="D6" s="7">
        <f>'[1]Competitor IVECO'!K6</f>
        <v>4</v>
      </c>
      <c r="E6" s="7">
        <f>'[1]Competitor IVECO'!L6</f>
        <v>3</v>
      </c>
      <c r="F6" s="7">
        <f>'[1]Competitor IVECO'!M6</f>
        <v>3</v>
      </c>
      <c r="G6" s="7">
        <f>'[1]Competitor IVECO'!N6</f>
        <v>4</v>
      </c>
      <c r="H6" s="7">
        <f>'[1]Competitor IVECO'!O6</f>
        <v>4</v>
      </c>
      <c r="I6" s="7">
        <f>'[1]Competitor IVECO'!P6</f>
        <v>4</v>
      </c>
      <c r="J6" s="7">
        <f>'[1]Competitor IVECO'!Q6</f>
        <v>4</v>
      </c>
      <c r="K6" s="7">
        <f>'[1]Competitor IVECO'!R6</f>
        <v>2</v>
      </c>
      <c r="L6" s="7">
        <f>'[1]Competitor IVECO'!T6</f>
        <v>2</v>
      </c>
      <c r="M6" s="7">
        <f>'[1]Competitor IVECO'!U6</f>
        <v>2</v>
      </c>
      <c r="N6" s="7">
        <f>'[1]Competitor IVECO'!V6</f>
        <v>3</v>
      </c>
      <c r="O6" s="7">
        <f>'[1]Competitor IVECO'!W6</f>
        <v>2</v>
      </c>
      <c r="P6" s="7">
        <f>'[1]Competitor IVECO'!X6</f>
        <v>4</v>
      </c>
      <c r="Q6" s="7">
        <f>'[1]Competitor IVECO'!Y6</f>
        <v>2</v>
      </c>
      <c r="R6" s="7">
        <f>'[1]Competitor IVECO'!Z6</f>
        <v>2</v>
      </c>
      <c r="S6" s="7">
        <f>'[1]Competitor IVECO'!AA6</f>
        <v>1</v>
      </c>
    </row>
    <row r="7" spans="1:19">
      <c r="A7" s="8" t="s">
        <v>210</v>
      </c>
      <c r="B7" s="8">
        <f>AVERAGE(B2:B6)</f>
        <v>4</v>
      </c>
      <c r="C7" s="8">
        <f t="shared" ref="C7:S7" si="0">AVERAGE(C2:C6)</f>
        <v>3</v>
      </c>
      <c r="D7" s="8">
        <f t="shared" si="0"/>
        <v>3.6</v>
      </c>
      <c r="E7" s="8">
        <f t="shared" si="0"/>
        <v>3.4</v>
      </c>
      <c r="F7" s="8">
        <f t="shared" si="0"/>
        <v>3.2</v>
      </c>
      <c r="G7" s="8">
        <f t="shared" si="0"/>
        <v>3.6</v>
      </c>
      <c r="H7" s="8">
        <f t="shared" si="0"/>
        <v>4</v>
      </c>
      <c r="I7" s="8">
        <f t="shared" si="0"/>
        <v>3.8</v>
      </c>
      <c r="J7" s="8">
        <f t="shared" si="0"/>
        <v>3.4</v>
      </c>
      <c r="K7" s="8">
        <f t="shared" si="0"/>
        <v>2.2000000000000002</v>
      </c>
      <c r="L7" s="8">
        <f t="shared" si="0"/>
        <v>1.8</v>
      </c>
      <c r="M7" s="8">
        <f t="shared" si="0"/>
        <v>3</v>
      </c>
      <c r="N7" s="8">
        <f t="shared" si="0"/>
        <v>3</v>
      </c>
      <c r="O7" s="8">
        <f t="shared" si="0"/>
        <v>2.6</v>
      </c>
      <c r="P7" s="8">
        <f t="shared" si="0"/>
        <v>4</v>
      </c>
      <c r="Q7" s="8">
        <f t="shared" si="0"/>
        <v>2.6</v>
      </c>
      <c r="R7" s="8">
        <f t="shared" si="0"/>
        <v>2.4</v>
      </c>
      <c r="S7" s="8">
        <f t="shared" si="0"/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Qualtrix_output</vt:lpstr>
      <vt:lpstr>Grafici_1</vt:lpstr>
      <vt:lpstr>Grafici_2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Daniele Grotti - Docente</cp:lastModifiedBy>
  <dcterms:created xsi:type="dcterms:W3CDTF">2026-09-17T08:46:43Z</dcterms:created>
  <dcterms:modified xsi:type="dcterms:W3CDTF">2026-09-17T10:50:52Z</dcterms:modified>
</cp:coreProperties>
</file>