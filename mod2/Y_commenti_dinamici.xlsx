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giorgiamoschini/Desktop/DEIA Consistency/"/>
    </mc:Choice>
  </mc:AlternateContent>
  <xr:revisionPtr revIDLastSave="0" documentId="13_ncr:1_{3551F8F9-854A-7F46-BF4C-D35EF522F769}" xr6:coauthVersionLast="47" xr6:coauthVersionMax="47" xr10:uidLastSave="{00000000-0000-0000-0000-000000000000}"/>
  <bookViews>
    <workbookView xWindow="28800" yWindow="600" windowWidth="38400" windowHeight="21000" xr2:uid="{00000000-000D-0000-FFFF-FFFF00000000}"/>
  </bookViews>
  <sheets>
    <sheet name="Commenti coding" sheetId="2" r:id="rId1"/>
    <sheet name="Note_1" sheetId="3" state="hidden" r:id="rId2"/>
    <sheet name="Livelli_Maturità_Extended Light" sheetId="4" state="hidden" r:id="rId3"/>
    <sheet name="Livelli_Maturità_Extended Deep" sheetId="5" state="hidden" r:id="rId4"/>
    <sheet name="Scoring" sheetId="6" state="hidden" r:id="rId5"/>
    <sheet name="Dashboard_4Aree" sheetId="7" state="hidden" r:id="rId6"/>
    <sheet name="Macro_Aree" sheetId="8" state="hidden" r:id="rId7"/>
    <sheet name="Chart_Data" sheetId="9" state="hidden" r:id="rId8"/>
    <sheet name="Appunti" sheetId="10" state="hidden" r:id="rId9"/>
  </sheets>
  <externalReferences>
    <externalReference r:id="rId10"/>
    <externalReference r:id="rId11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5" i="9" s="1"/>
  <c r="B4" i="8"/>
  <c r="B4" i="9" s="1"/>
  <c r="B3" i="8"/>
  <c r="B3" i="9" s="1"/>
  <c r="B2" i="8"/>
  <c r="D2" i="8" s="1"/>
  <c r="D14" i="6"/>
  <c r="D13" i="6"/>
  <c r="C11" i="6"/>
  <c r="G11" i="6" s="1"/>
  <c r="B11" i="6"/>
  <c r="C10" i="6"/>
  <c r="G10" i="6" s="1"/>
  <c r="B10" i="6"/>
  <c r="C9" i="6"/>
  <c r="G9" i="6" s="1"/>
  <c r="B9" i="6"/>
  <c r="C8" i="6"/>
  <c r="G8" i="6" s="1"/>
  <c r="B8" i="6"/>
  <c r="C7" i="6"/>
  <c r="G7" i="6" s="1"/>
  <c r="B7" i="6"/>
  <c r="C6" i="6"/>
  <c r="G6" i="6" s="1"/>
  <c r="B6" i="6"/>
  <c r="C5" i="6"/>
  <c r="G5" i="6" s="1"/>
  <c r="B5" i="6"/>
  <c r="C4" i="6"/>
  <c r="G4" i="6" s="1"/>
  <c r="B4" i="6"/>
  <c r="F11" i="3"/>
  <c r="E11" i="3"/>
  <c r="F10" i="3"/>
  <c r="E10" i="3"/>
  <c r="F9" i="3"/>
  <c r="E9" i="3"/>
  <c r="F11" i="6" l="1"/>
  <c r="B19" i="7"/>
  <c r="F9" i="6"/>
  <c r="F7" i="6"/>
  <c r="E2" i="8"/>
  <c r="B6" i="7" s="1"/>
  <c r="B7" i="7"/>
  <c r="F5" i="6"/>
  <c r="C3" i="8"/>
  <c r="J5" i="7" s="1"/>
  <c r="C5" i="8"/>
  <c r="J20" i="7" s="1"/>
  <c r="D3" i="8"/>
  <c r="D5" i="8"/>
  <c r="F4" i="6"/>
  <c r="F6" i="6"/>
  <c r="F8" i="6"/>
  <c r="F10" i="6"/>
  <c r="B4" i="7"/>
  <c r="B2" i="9"/>
  <c r="J4" i="7"/>
  <c r="J19" i="7"/>
  <c r="C2" i="8"/>
  <c r="B5" i="7" s="1"/>
  <c r="C4" i="8"/>
  <c r="B20" i="7" s="1"/>
  <c r="D4" i="8"/>
  <c r="E5" i="8" l="1"/>
  <c r="J21" i="7" s="1"/>
  <c r="J22" i="7"/>
  <c r="E3" i="8"/>
  <c r="J6" i="7" s="1"/>
  <c r="J7" i="7"/>
  <c r="E4" i="8"/>
  <c r="B21" i="7" s="1"/>
  <c r="B22" i="7"/>
</calcChain>
</file>

<file path=xl/sharedStrings.xml><?xml version="1.0" encoding="utf-8"?>
<sst xmlns="http://schemas.openxmlformats.org/spreadsheetml/2006/main" count="398" uniqueCount="242">
  <si>
    <t>Descrizione</t>
  </si>
  <si>
    <t>Foundation</t>
  </si>
  <si>
    <t>Non-discrimination</t>
  </si>
  <si>
    <t>Monitoring</t>
  </si>
  <si>
    <t>Communities</t>
  </si>
  <si>
    <t>End-users</t>
  </si>
  <si>
    <t>Topic / dimensione</t>
  </si>
  <si>
    <t>Codifica finale</t>
  </si>
  <si>
    <t>Razionale di scoring / limiti</t>
  </si>
  <si>
    <t xml:space="preserve">Retention &amp; Onboarding </t>
  </si>
  <si>
    <t>Employment</t>
  </si>
  <si>
    <t>Employees Engagement</t>
  </si>
  <si>
    <t>Education &amp; Training</t>
  </si>
  <si>
    <t>Supply Chain</t>
  </si>
  <si>
    <t>Religione e credo</t>
  </si>
  <si>
    <t>Disabilità</t>
  </si>
  <si>
    <t>Generazioni ed età</t>
  </si>
  <si>
    <t>Etnia</t>
  </si>
  <si>
    <t>Genere</t>
  </si>
  <si>
    <t>LGBTQIA+</t>
  </si>
  <si>
    <t>Status socio-economico</t>
  </si>
  <si>
    <t>Aspetto fisico</t>
  </si>
  <si>
    <t>Note metodologiche - Qualitative Content Analysis DEIA</t>
  </si>
  <si>
    <t>Data analisi</t>
  </si>
  <si>
    <t>2026-07-01</t>
  </si>
  <si>
    <t>Perimetro</t>
  </si>
  <si>
    <t>Analisi dei tre report allegati e del foglio Dataset_reporting; nessuna fonte web esterna utilizzata.</t>
  </si>
  <si>
    <t>Criteri applicati</t>
  </si>
  <si>
    <t>Codifica item-by-item su scala 1-4: 1 assente/episodico; 2 generico/narrativo; 3 specifico o con KPI parziali; 4 strutturato con policy, azioni, KPI, target, outcome o responsabilità chiaramente attribuibili.</t>
  </si>
  <si>
    <t>Assunzioni</t>
  </si>
  <si>
    <t>La colonna "Supply Chain" è stata interpretata come presidio DEIA/sociale della catena del valore; la colonna duplicata "Supply chain" come presenza più specifica di supplier diversity/procurement inclusivo. I punteggi alti non sono stati assegnati per sole menzioni generiche.</t>
  </si>
  <si>
    <t>Limiti</t>
  </si>
  <si>
    <t>P.IVA compilata solo se presente nel report. Link DEIA lasciato vuoto perché non è stato rilevato un link DEIA specifico nei documenti. Il report Fater è un documento di sintesi: alcune pratiche potrebbero esistere ma non sono state codificate se non documentate.</t>
  </si>
  <si>
    <t>Azienda</t>
  </si>
  <si>
    <t>Principali evidenze</t>
  </si>
  <si>
    <t>Principali criticità/gap</t>
  </si>
  <si>
    <t>Pagine chiave</t>
  </si>
  <si>
    <t>Score temi</t>
  </si>
  <si>
    <t>Score dimensioni</t>
  </si>
  <si>
    <t>4BILD / Bild Distribuzione S.p.A.</t>
  </si>
  <si>
    <t>Policy D&amp;I e parità di genere, certificazione UNI/PdR 125, non discriminazione e monitoring annuale, KPI workforce per genere/età, Accademia e iniziative comunitarie.</t>
  </si>
  <si>
    <t>Poche evidenze su supplier diversity, religione, disabilità, etnia, LGBTQIA+, aspetto fisico e inclusive design/end-users.</t>
  </si>
  <si>
    <t>pp. 8, 16-17, 22-23, 30-33, 54-67, 72-73, ultima pagina P.IVA</t>
  </si>
  <si>
    <t>Fater S.p.A.</t>
  </si>
  <si>
    <t>KPI sociali e target su pay gap, survey interna, gender balance e comunità; certificazione parità di genere; report accessibile; rating fornitori ESG/SA8000.</t>
  </si>
  <si>
    <t>Disclosure sintetica; formazione DEIA non documentata; supplier diversity specifica e molte dimensioni DEIA non coperte.</t>
  </si>
  <si>
    <t>pp. 3-7, 11-12, 16, 19, 22-23, 26-27</t>
  </si>
  <si>
    <t>Iveco Group N.V.</t>
  </si>
  <si>
    <t>Disclosure ESRS strutturata: DEI Policy, DEI Council/HR office, EDGE, KPI workforce/training/pay gap, helpline, human rights assessments, Supplier Code e audit, community target e S4 end-users.</t>
  </si>
  <si>
    <t>Dimensioni diverse da genere/età prevalentemente policy-based; end-users molto strutturato su safety/accessibility ma meno su inclusive design DEIA.</t>
  </si>
  <si>
    <t>pp. 17-18, 34, 94-112, 119-123, 126-141, 143-160, 242-243</t>
  </si>
  <si>
    <t>Campi lasciati vuoti/non compilati</t>
  </si>
  <si>
    <t>Fater P.IVA; Iveco P.IVA; Fater tipologia analisi materialità; tutti i DEIA website link: non supportati da evidenza nei report o nel dataset.</t>
  </si>
  <si>
    <t>Framework Area</t>
  </si>
  <si>
    <t>Livello</t>
  </si>
  <si>
    <t>Key</t>
  </si>
  <si>
    <t>Strategia</t>
  </si>
  <si>
    <t>1 - Awakening</t>
  </si>
  <si>
    <t>La DEIA non è ancora parte della visione strategica. Le iniziative sono episodiche o di compliance. Manca governance e sponsorship del top management.</t>
  </si>
  <si>
    <t>• Avviare un assessment iniziale DEIA per mappare punti di forza e gap (breve termine). • Definire e approvare una policy DEIA con sponsor dal vertice (medio termine).</t>
  </si>
  <si>
    <t>Strategia|1</t>
  </si>
  <si>
    <t>2 - Improvement</t>
  </si>
  <si>
    <t>La DEIA è riconosciuta come tema rilevante ma non ancora integrato nella pianificazione strategica. Esistono policy e KPI sperimentali.</t>
  </si>
  <si>
    <t>• Formalizzare una governance DEIA (comitato o ruolo dedicato) (breve termine). • Collegare la DEIA agli obiettivi ESG e allo scopo/purpose dell’organizzazione (medio termine).</t>
  </si>
  <si>
    <t>Strategia|2</t>
  </si>
  <si>
    <t>3 - Consistency</t>
  </si>
  <si>
    <t>La DEIA è integrata nei piani strategici e sostenuta da leadership attiva. Gli obiettivi sono misurabili e monitorati.</t>
  </si>
  <si>
    <t>• Rafforzare la misurazione d’impatto e rendicontare i risultati agli stakeholder (medio termine). • Integrare indicatori DEIA nel processo di performance management (lungo termine).</t>
  </si>
  <si>
    <t>Strategia|3</t>
  </si>
  <si>
    <t>4 - Embedding</t>
  </si>
  <si>
    <t>La DEIA è pienamente radicata nel purpose aziendale. Ogni decisione strategica tiene conto dell’impatto inclusivo.</t>
  </si>
  <si>
    <t>• Implementare un ciclo continuo di miglioramento strategico con revisione annuale DEIA (medio termine). • Diffondere il modello attraverso partnership e benchmarking (lungo termine).</t>
  </si>
  <si>
    <t>Strategia|4</t>
  </si>
  <si>
    <t>Processi</t>
  </si>
  <si>
    <t>I processi non considerano ancora la DEIA. Le pratiche HR e operative sono standard e non equitative.</t>
  </si>
  <si>
    <t>• Analizzare i processi HR e operativi per individuare bias e barriere (breve termine). • Introdurre criteri minimi di equità e accessibilità nei flussi di lavoro (medio termine).</t>
  </si>
  <si>
    <t>Processi|1</t>
  </si>
  <si>
    <t>Alcuni processi includono elementi DEIA ma senza coerenza o monitoraggio.</t>
  </si>
  <si>
    <t>• Introdurre procedure di segnalazione e feedback DEIA (breve termine). • Formare HR e manager su selezione equa e comunicazione accessibile (medio termine).</t>
  </si>
  <si>
    <t>Processi|2</t>
  </si>
  <si>
    <t>La DEIA è integrata nei processi organizzativi. I flussi di lavoro sono documentati e revisionati periodicamente.</t>
  </si>
  <si>
    <t>• Automatizzare il monitoraggio DEIA nei processi chiave (medio termine). • Estendere i criteri di equità alla supply chain e ai fornitori (lungo termine).</t>
  </si>
  <si>
    <t>Processi|3</t>
  </si>
  <si>
    <t>Ogni processo incorpora la DEIA in modo sistematico (equity by design).</t>
  </si>
  <si>
    <t>• Integrare la DEIA nei sistemi di qualità e risk management (medio termine). • Effettuare audit periodici sull’equità e l’accessibilità dei processi (lungo termine).</t>
  </si>
  <si>
    <t>Processi|4</t>
  </si>
  <si>
    <t>Cultura</t>
  </si>
  <si>
    <t>La cultura organizzativa non riflette ancora valori inclusivi. I comportamenti non sono orientati alla DEIA.</t>
  </si>
  <si>
    <t>• Avviare workshop di sensibilizzazione e formazione base (breve termine). • Definire un codice etico con principi di rispetto e inclusione (medio termine).</t>
  </si>
  <si>
    <t>Cultura|1</t>
  </si>
  <si>
    <t>Cresce la consapevolezza, ma la cultura inclusiva non è diffusa in modo uniforme.</t>
  </si>
  <si>
    <t>• Introdurre programmi di inclusive leadership (breve termine). • Promuovere momenti di ascolto e dialogo interfunzionale (medio termine).</t>
  </si>
  <si>
    <t>Cultura|2</t>
  </si>
  <si>
    <t>L’inclusione è visibile nel linguaggio e nei comportamenti quotidiani. I leader agiscono come modelli inclusivi.</t>
  </si>
  <si>
    <t>• Creare community interne o Employee Resource Groups (medio termine). • Riconoscere formalmente i comportamenti inclusivi (lungo termine).</t>
  </si>
  <si>
    <t>Cultura|3</t>
  </si>
  <si>
    <t>La DEIA è parte integrante del DNA culturale e delle relazioni aziendali.</t>
  </si>
  <si>
    <t>• Integrare la cultura DEIA nei percorsi di onboarding e sviluppo manageriale (medio termine). • Mantenere viva la cultura inclusiva con storytelling e mentorship (lungo termine).</t>
  </si>
  <si>
    <t>Cultura|4</t>
  </si>
  <si>
    <t>Mercato</t>
  </si>
  <si>
    <t>La DEIA non è considerata nella proposta di valore o nella comunicazione esterna.</t>
  </si>
  <si>
    <t>• Mappare rischi reputazionali e bias comunicativi (breve termine). • Formare il team marketing su linguaggio inclusivo (medio termine).</t>
  </si>
  <si>
    <t>Mercato|1</t>
  </si>
  <si>
    <t>L’impegno DEIA emerge ma senza coerenza con le pratiche interne.</t>
  </si>
  <si>
    <t>• Includere criteri DEIA nello sviluppo di prodotti e servizi (breve termine). • Avviare partnership sociali coerenti con i valori DEIA (medio termine).</t>
  </si>
  <si>
    <t>Mercato|2</t>
  </si>
  <si>
    <t>La DEIA è parte del brand: prodotti, servizi e comunicazione sono inclusivi e accessibili.</t>
  </si>
  <si>
    <t>• Monitorare la percezione esterna con survey periodiche (medio termine). • Integrare metriche di impatto sociale nei KPI di marketing (lungo termine).</t>
  </si>
  <si>
    <t>Mercato|3</t>
  </si>
  <si>
    <t>L’organizzazione è riconosciuta come modello di inclusione e impatto positivo.</t>
  </si>
  <si>
    <t>• Consolidare una DEIA value proposition chiara e distintiva (medio termine). • Diffondere standard DEIA a fornitori e clienti (lungo termine).</t>
  </si>
  <si>
    <t>Mercato|4</t>
  </si>
  <si>
    <t>La DEIA (Diversità, Equità, Inclusione e Accessibilità) non è ancora parte della visione strategica.
Le iniziative sono sporadiche, spesso reattive o di compliance normativa (es. risposte a obblighi o pressioni esterne).
Non esiste una visione condivisa sul valore strategico della DEIA né una governance dedicata.
Il top management non promuove il tema attivamente, e la responsabilità è percepita come limitata alla funzione HR.
La misurazione dell’impatto DEIA è assente o frammentaria.</t>
  </si>
  <si>
    <t>• Avviare un assessment iniziale DEIA per mappare punti di forza, gap e rischi reputazionali, coinvolgendo leadership, HR e persone chiave (breve termine).
• Definire e approvare una policy DEIA aziendale, con chiara sponsorship dal vertice e allineamento alla strategia ESG complessiva (medio termine).
• Avviare una campagna di sensibilizzazione interna per diffondere i principi base e il linguaggio comune della DEIA (breve termine).</t>
  </si>
  <si>
    <t>La DEIA è riconosciuta come tema importante per la reputazione e la sostenibilità, ma non è ancora integrata nei piani strategici o negli obiettivi aziendali.
Sono presenti policy o linee guida di base, a volte sviluppate in modo sperimentale, ma senza indicatori consolidati o chiara rendicontazione.
Il commitment della leadership è intermittente e non sempre accompagnato da allocazione di risorse.
Le decisioni strategiche raramente considerano l’impatto inclusivo, e la DEIA resta una “proprietà” di poche persone motivate.</t>
  </si>
  <si>
    <t>• Formalizzare una governance DEIA, creando un comitato o un ruolo dedicato con mandato e obiettivi chiari (breve termine).
• Collegare la DEIA agli obiettivi ESG e al purpose aziendale, definendo indicatori preliminari e responsabilità di rendicontazione (medio termine).
• Sperimentare KPI di diversità e inclusione (es. gender balance, accessibilità, percezione di equità) per testare capacità di monitoraggio (medio termine).</t>
  </si>
  <si>
    <t>La DEIA è integrata nei piani strategici e sostenuta da una leadership consapevole e coerente.
Gli obiettivi sono misurabili, monitorati e collegati alle performance e ai risultati ESG.
La governance è chiara, con ruoli e responsabilità definite (es. comitato DEIA o team cross-funzionale).
I risultati vengono comunicati internamente, e l’inclusione comincia a essere vista come leva di innovazione e valore organizzativo.
Le decisioni strategiche mostrano attenzione alla rappresentanza e all’impatto sociale.</t>
  </si>
  <si>
    <t>• Rafforzare la misurazione dell’impatto DEIA con indicatori quantitativi e qualitativi integrati nel cruscotto ESG (medio termine).
• Integrare la DEIA nella gestione delle performance, collegando obiettivi inclusivi alla valutazione manageriale e ai bonus (lungo termine).
• Pubblicare una DEIA Impact Report annuale per stakeholder interni ed esterni (lungo termine).</t>
  </si>
  <si>
    <t>La DEIA è pienamente radicata nel purpose aziendale e nella visione di lungo periodo.
Ogni decisione strategica e organizzativa è valutata anche per il suo impatto inclusivo e sociale.
Il top management agisce come sponsor attivo, e la DEIA è parte integrante della governance ESG.
Le metriche DEIA sono sistematicamente integrate nella pianificazione, nei bilanci di sostenibilità e nella gestione delle performance.
L’organizzazione è riconosciuta per la sua leadership inclusiva e il suo impatto positivo sugli stakeholder interni ed esterni.</t>
  </si>
  <si>
    <t>• Implementare un ciclo continuo di miglioramento strategico, con revisione annuale del piano DEIA e riallineamento con il purpose e il piano industriale (medio termine).
• Diffondere il modello attraverso partnership, benchmarking di settore e adesione a network nazionali o internazionali DEI (lungo termine).
• Integrare la DEIA nei processi di decision-making strategico, includendo analisi d’impatto inclusivo per progetti e investimenti (lungo termine).</t>
  </si>
  <si>
    <t>I processi organizzativi e HR non considerano ancora la DEIA.
Le pratiche di selezione, sviluppo e valutazione sono standard, ma non equitative: non tengono conto delle differenze e dei bisogni individuali.
Non esistono meccanismi di ascolto o revisione dei processi per individuare bias o barriere.
Gli strumenti digitali e le comunicazioni interne non garantiscono accessibilità.</t>
  </si>
  <si>
    <t>• Analizzare i processi HR e operativi per identificare bias, barriere e pratiche discriminatorie, con audit qualitativo (breve termine).
• Introdurre criteri minimi di equità e accessibilità nei flussi di lavoro (es. linguaggio, strumenti, orari, ambienti fisici) (medio termine).
• Avviare un programma di revisione delle policy HR per garantire parità di trattamento (medio termine).</t>
  </si>
  <si>
    <t>Alcuni processi iniziano a includere elementi DEIA (es. linguaggio inclusivo nei bandi, formazione sul bias), ma in modo non sistematico.
La revisione dei processi è episodica e spesso dipende da iniziative individuali.
Non c’è ancora un monitoraggio strutturato dell’impatto DEIA.
Le tecnologie e i flussi di lavoro mostrano progressi, ma la coerenza organizzativa è limitata.</t>
  </si>
  <si>
    <t>• Creare procedure strutturate per segnalazioni e feedback DEIA, garantendo anonimato e tracciabilità (breve termine).
• Formare HR e manager su selezione equa, prevenzione dei bias e comunicazione accessibile (medio termine).
• Mappare e aggiornare i processi che hanno impatto sulla DEIA (onboarding, valutazione, promozione) (medio termine).</t>
  </si>
  <si>
    <t>La DEIA è integrata nei processi chiave: HR, comunicazione, supply chain e innovazione.
I flussi di lavoro sono documentati, verificati periodicamente e progettati per favorire equità e accessibilità.
Esistono procedure di segnalazione, piani di miglioramento e criteri DEIA nei processi di valutazione.
La leadership di funzione è coinvolta nel garantire che i processi rispettino i principi di inclusione.</t>
  </si>
  <si>
    <t>• Automatizzare il monitoraggio DEIA nei processi chiave (es. recruiting, compensation, mobility interna) con dashboard di indicatori (medio termine).
• Estendere i criteri di equità alla supply chain, introducendo standard DEIA nei contratti e nei processi di vendor evaluation (lungo termine).
• Attivare revisioni periodiche dei workflow per garantire coerenza e aggiornamento rispetto alle normative e buone pratiche (lungo termine).</t>
  </si>
  <si>
    <t>Ogni processo aziendale incorpora la DEIA in modo strutturale (equity by design).
L’equità è un criterio guida nella progettazione, nella gestione e nella revisione dei processi.
Le metriche DEIA sono integrate nei sistemi di qualità, audit e risk management.
La cultura dell’inclusione è riflessa in ogni fase del ciclo operativo, dalla pianificazione alla delivery.
L’organizzazione anticipa le criticità e adotta soluzioni preventive per eliminare bias e barriere.</t>
  </si>
  <si>
    <t>• Integrare la DEIA nei sistemi di qualità e risk management, rendendola parte dei processi di audit e certificazione (medio termine).
• Eseguire audit DEIA regolari sull’equità e sull’accessibilità dei processi, coinvolgendo stakeholder interni ed esterni (lungo termine).
• Promuovere un approccio design for inclusion in tutti i nuovi processi e strumenti aziendali (lungo termine).</t>
  </si>
  <si>
    <t>La cultura organizzativa non riflette ancora valori inclusivi.
I comportamenti quotidiani e le comunicazioni possono contenere bias o stereotipi.
Non esiste consapevolezza diffusa del ruolo della DEIA nella qualità delle relazioni e del clima interno.
La sicurezza psicologica è fragile: esprimere opinioni divergenti è percepito come rischioso.</t>
  </si>
  <si>
    <t>• Avviare workshop di sensibilizzazione e formazione base sulla DEIA, rivolti a tutte le funzioni e livelli (breve termine).
• Definire un codice etico con principi di rispetto, equità e inclusione, diffuso e sottoscritto da tutto il personale (medio termine).
• Introdurre una sezione DEIA nei canali di comunicazione interna (breve termine).</t>
  </si>
  <si>
    <t>Cresce la consapevolezza del valore della DEIA, ma i comportamenti inclusivi non sono ancora diffusi in modo coerente.
Le iniziative di sensibilizzazione esistono, ma non raggiungono tutti i livelli dell’organizzazione.
I leader iniziano a promuovere un linguaggio e uno stile più inclusivi, ma mancano strumenti per misurare i progressi culturali.
La gestione dei conflitti o delle diversità di approccio è ancora reattiva.</t>
  </si>
  <si>
    <t>• Avviare programmi di inclusive leadership, orientati a far emergere comportamenti di ascolto e gestione dei conflitti (breve termine).
• Promuovere momenti di dialogo interfunzionale, focus group e storytelling di esperienze inclusive (medio termine).
• Inserire la DEIA nei percorsi formativi manageriali (medio termine).</t>
  </si>
  <si>
    <t>L’inclusione è visibile nei comportamenti, nel linguaggio e nelle relazioni quotidiane.
I leader agiscono come modelli di riferimento e promuovono dialogo, rispetto e collaborazione.
Le persone percepiscono appartenenza, sicurezza psicologica e pari opportunità di crescita.
I comportamenti inclusivi sono riconosciuti e valorizzati anche nei sistemi di performance.
La cultura DEIA è sostenuta da programmi formativi e community interne.</t>
  </si>
  <si>
    <t>• Creare community o Employee Resource Groups (ERG) per promuovere engagement e iniziative di diversità (medio termine).
• Riconoscere formalmente i comportamenti inclusivi nei sistemi di valutazione o premi aziendali (lungo termine).
• Integrare la DEIA nei programmi di benessere e cultura organizzativa (lungo termine).</t>
  </si>
  <si>
    <t>La DEIA è parte integrante del DNA organizzativo e delle relazioni.
L’inclusione è vissuta come valore condiviso, radicato nel purpose e nelle pratiche di leadership.
La diversità è percepita come leva di innovazione, apprendimento e benessere collettivo.
La cultura organizzativa si rinnova continuamente attraverso momenti di ascolto, co-progettazione e feedback.</t>
  </si>
  <si>
    <t>• Integrare la cultura DEIA nei percorsi di onboarding, sviluppo e successione manageriale (medio termine).
• Mantenere viva la cultura inclusiva con storytelling interni, mentorship, e giornate tematiche (lungo termine).
• Monitorare regolarmente la percezione interna di inclusione e appartenenza con survey periodiche (lungo termine).</t>
  </si>
  <si>
    <t>La DEIA non è considerata nella proposta di valore, nella comunicazione o nei prodotti/servizi.
Il linguaggio esterno può contenere stereotipi, e l’esperienza cliente non è progettata per la diversità.
Non sono presenti politiche o indicatori di impatto inclusivo verso clienti, fornitori o stakeholder.</t>
  </si>
  <si>
    <t>• Mappare rischi reputazionali e bias comunicativi, analizzando linguaggio e rappresentazioni nei materiali esistenti (breve termine).
• Formare il team marketing e comunicazione su linguaggio inclusivo, rappresentazione e accessibilità (medio termine).
• Inserire un controllo DEIA nei flussi di validazione delle campagne (breve termine).</t>
  </si>
  <si>
    <t>L’impegno DEIA comincia a emergere in campagne o iniziative di marketing, ma senza coerenza con la cultura interna.
Le azioni sono spesso simboliche o non monitorate in termini di impatto reale.
L’inclusione è trattata come elemento reputazionale, più che strategico.
Si inizia a considerare la diversità nei prodotti o nei target di comunicazione.</t>
  </si>
  <si>
    <t>• Includere criteri DEIA nello sviluppo di prodotti e servizi, introducendo test di accessibilità o diversità del target (breve termine).
• Avviare partnership e progetti sociali coerenti con i valori DEIA e il brand purpose (medio termine).
• Creare una linea guida DEIA per la comunicazione esterna (medio termine).</t>
  </si>
  <si>
    <t>La DEIA è parte del brand e della proposta di valore.
Prodotti, servizi e comunicazioni sono progettati per essere accessibili, rappresentativi e inclusivi.
L’organizzazione misura la percezione esterna della propria credibilità DEIA.
La relazione con i fornitori include criteri etici e di inclusione, e il team marketing è formato sui principi DEIA.</t>
  </si>
  <si>
    <t>• Monitorare la percezione esterna DEIA con survey e analisi reputazionali (medio termine).
• Integrare metriche di impatto sociale e inclusivo nei KPI di marketing e customer experience (lungo termine).
• Collaborare con enti o associazioni per diffondere buone pratiche inclusive nel settore (lungo termine).</t>
  </si>
  <si>
    <t>L’organizzazione è riconosciuta come modello di inclusione e impatto positivo sul mercato.
L’approccio DEIA è pienamente integrato nella strategia di marketing, innovazione e stakeholder engagement.
Le scelte di prodotto, comunicazione e partnership rispecchiano una cultura di equità e rispetto.
L’organizzazione guida il cambiamento nel proprio settore, promuovendo standard inclusivi e condivisi lungo tutta la catena del valore.</t>
  </si>
  <si>
    <t>• Consolidare una DEIA Value Proposition chiara e distintiva, integrata nella narrazione di brand (medio termine).
• Diffondere standard DEIA a fornitori, partner e clienti, rendendoli parte del sistema di valutazione e responsabilità sociale (lungo termine).
• Comunicare pubblicamente gli impatti positivi generati, in ottica di accountability e trasparenza (lungo termine).</t>
  </si>
  <si>
    <t>Scoring per sezione con Pesi e Target</t>
  </si>
  <si>
    <t>Sezione</t>
  </si>
  <si>
    <t>Media</t>
  </si>
  <si>
    <t>Peso</t>
  </si>
  <si>
    <t>Target</t>
  </si>
  <si>
    <t>STRATEGY &amp; PURPOSE</t>
  </si>
  <si>
    <t>GOVERNANCE &amp; AUTHORITY</t>
  </si>
  <si>
    <t>WORKFLOW &amp; OPERATIONS</t>
  </si>
  <si>
    <t>MEETING SYSTEM</t>
  </si>
  <si>
    <t>INFORMATION FLOW</t>
  </si>
  <si>
    <t>CULTURE &amp; PEOPLE</t>
  </si>
  <si>
    <t>INNOVATION SYSTEM</t>
  </si>
  <si>
    <t>MARKET</t>
  </si>
  <si>
    <t>Dashboard – 4 Aree (punteggio, livello e descrizione dinamica)</t>
  </si>
  <si>
    <t>Media (1-4):</t>
  </si>
  <si>
    <t>Livello:</t>
  </si>
  <si>
    <t>Descrizione:</t>
  </si>
  <si>
    <t>Area</t>
  </si>
  <si>
    <t>Media (1–4)</t>
  </si>
  <si>
    <t>Descrizione dinamica</t>
  </si>
  <si>
    <t>Tema country: dove è l'headquarter, apporccio culturale, declinazione</t>
  </si>
  <si>
    <t>Anagrafica (vedi già esistenti tipo Valore D)</t>
  </si>
  <si>
    <t>Traccia per tutte le dimensioni</t>
  </si>
  <si>
    <t>Traccia completa</t>
  </si>
  <si>
    <t>Dati (es. donne assegnatarie di budget, vedi KPI certificazione, persone con disabilità,...)</t>
  </si>
  <si>
    <t>Fonti BCorp - Great place to work</t>
  </si>
  <si>
    <t>La DEIA è assente o compare solo in modo episodico, ad esempio in una dichiarazione valoriale o nella lettera del CEO, senza collegamenti a strategia, policy, responsabilità o obiettivi.</t>
  </si>
  <si>
    <t>Esiste un richiamo generale a diversità/inclusione nei valori o nella people strategy, ma il presidio resta narrativo: non sono chiariti governance, responsabilità, policy dedicate o obiettivi misurabili.</t>
  </si>
  <si>
    <t>La DEIA è riconoscibile nella strategia o nella governance e sono presenti policy, responsabilità o iniziative dedicate, ma manca almeno uno degli elementi che rendono il presidio pienamente strutturato, come target, KPI di avanzamento o outcome. Esempio: DEI policy e council presenti, ma senza un set completo di risultati misurati.</t>
  </si>
  <si>
    <t>La DEIA è formalmente integrata in strategia, valori e governance ed è supportata da policy, responsabilità chiare, iniziative, KPI/target e risultati rendicontati. Esempio: sezione DEIA dedicata con organo responsabile, obiettivi pluriennali e monitoraggio periodico dei risultati.</t>
  </si>
  <si>
    <t>Non emergono evidenze di criteri DEIA nei processi di recruiting, onboarding o retention, oppure compaiono solo riferimenti isolati e non collegati ai processi HR.</t>
  </si>
  <si>
    <t>L'organizzazione dichiara di voler garantire selezioni eque o inclusive, ma non descrive in modo concreto strumenti, processi o controlli applicati a recruiting, onboarding e retention. Esempio: semplice richiamo a 'pari opportunità' nelle job vacancy.</t>
  </si>
  <si>
    <t>Sono documentate pratiche inclusive in alcune fasi del ciclo HR, come recruiting, onboarding, talent review o succession planning, ma mancano KPI o outcome specifici su assunzioni, retention, promozioni o mobilità dei gruppi sottorappresentati.</t>
  </si>
  <si>
    <t>Recruiting, onboarding e retention sono gestiti con processi DEIA formalizzati e monitorati tramite KPI/target e risultati. Esempio: tassi di hiring, turnover, retention o promotion disaggregati per genere/altre dimensioni, obiettivi di miglioramento e azioni correttive.</t>
  </si>
  <si>
    <t>Le condizioni di lavoro e le pari opportunità non sono affrontate in chiave DEIA o sono citate solo in modo occasionale senza evidenze su rappresentanza, accessibilità, welfare o equità retributiva.</t>
  </si>
  <si>
    <t>Vengono descritte iniziative generali su welfare, benessere o pari opportunità, ma senza un focus DEIA chiaro né dati sufficienti a valutarne copertura ed efficacia.</t>
  </si>
  <si>
    <t>Sono presenti evidenze specifiche su condizioni di lavoro e pari opportunità, ad esempio pay equity, rappresentanza, benefit, flessibilità o accessibilità, con alcuni KPI; il quadro resta però parziale o non accompagnato da target/outcome sistematici.</t>
  </si>
  <si>
    <t>La disclosure copre in modo strutturato condizioni di lavoro e opportunità con policy, azioni, KPI, target e risultati. Esempio: gender pay gap misurato annualmente, obiettivo di pay equity, dati su rappresentanza e benefit e verifica dell'avanzamento.</t>
  </si>
  <si>
    <t>Non risultano meccanismi strutturati di ascolto o partecipazione dei e delle dipendenti sui temi DEIA, oppure sono riportate solo iniziative occasionali.</t>
  </si>
  <si>
    <t>Sono citati canali di ascolto, eventi o comunicazione interna, ma senza processo ricorrente, metriche o evidenze su come il feedback influenzi decisioni e azioni.</t>
  </si>
  <si>
    <t>L'organizzazione utilizza survey, focus group, ERG/network o altri strumenti di ascolto e descrive le azioni conseguenti, ma i risultati DEIA sono misurati solo parzialmente o senza target espliciti.</t>
  </si>
  <si>
    <t>L'engagement DEIA è monitorato in modo continuativo con survey/index, target, trend e follow-up. Esempio: D&amp;I Index con target annuale, risultato effettivo, participation rate e spiegazione degli scostamenti.</t>
  </si>
  <si>
    <t>Non sono riportate attività formative riconducibili alla DEIA, oppure compare solo una menzione generica alla formazione senza contenuti specifici.</t>
  </si>
  <si>
    <t>Sono descritte alcune iniziative di sensibilizzazione su diversità, bias o rispetto, ma in modo episodico e senza informazioni su chi ha partecipato, copertura, ore o risultati.</t>
  </si>
  <si>
    <t>Esistono programmi DEIA identificabili, ad esempio unconscious bias, inclusive leadership o anti-harassment training, con dati parziali su partecipanti/ore/completion; manca però un sistema completo di target e outcome specifici.</t>
  </si>
  <si>
    <t>La formazione DEIA è formalizzata, ricorrente e misurata con KPI, target e risultati, distinguendola dalla formazione generale. Esempio: training obbligatorio per specifici target group con tasso di completamento, copertura, follow-up e indicatori di efficacia.</t>
  </si>
  <si>
    <t>Non è presente una policy o un presidio riconoscibile contro discriminazione e molestie, oppure il tema è citato solo in modo frammentario.</t>
  </si>
  <si>
    <t>Esiste un principio generale di non-discriminazione o zero tolerance nel Codice di Condotta/Codice Etico, ma mancano procedure, canali di segnalazione, dati sui casi o evidenze sulle modalità di gestione.</t>
  </si>
  <si>
    <t>Sono presenti policy/procedure, canali di whistleblowing e informazioni quantitative o qualitative sui casi, ma la disclosure sugli esiti è incompleta. Esempio: numero di casi confermati e tipologia di violazione senza l'intero processo dalla segnalazione alle azioni correttive.</t>
  </si>
  <si>
    <t>Il presidio è strutturato lungo l'intero processo: policy, canali, investigation, casi ricevuti/confermati, rimedi, sanzioni e follow-up. Esempio: disclosure di segnalazioni, casi accertati e azioni correttive</t>
  </si>
  <si>
    <t>Non emergono KPI, target, survey, audit o altri strumenti di monitoraggio DEIA; l'azienda si limita a dichiarazioni di principio.</t>
  </si>
  <si>
    <t>Vengono riportati alcuni dati o indicatori isolati, ma senza un sistema di monitoraggio coerente, target, trend o responsabilità definite.</t>
  </si>
  <si>
    <t>Sono disponibili KPI DEIA e/o target su alcune aree, con monitoraggio periodico, ma la copertura è parziale o manca una lettura strutturata di outcome e scostamenti.</t>
  </si>
  <si>
    <t>Non risultano criteri DEIA/sociali applicati ai fornitori o al procurement, oppure il tema compare solo genericamente all'interno della sostenibilità di filiera.</t>
  </si>
  <si>
    <t>Il Supplier Code o i criteri di qualifica includono principi generali di non-discriminazione e diritti umani, ma non sono descritte verifiche, KPI o iniziative specifiche di supplier diversity/politiche di approvvigionamento inclusive.</t>
  </si>
  <si>
    <t>La catena di fornitura è presidiata con codici, assessment, audit, training o azioni correttive e include requisiti sociali/di non-discriminazione, ma mancano KPI/target specificamente riferiti alla diversità dei fornitori o politiche di approvvigionamento inclusive.</t>
  </si>
  <si>
    <t>L'organizzazione gestisce esplicitamente supplier diversity/politiche di approvvigionamento inclusive con criteri dedicati, KPI/target, monitoraggio della spesa o della composizione dei fornitori e risultati. Esempio: quota di spesa verso imprese di proprietà di donne/con presenza di personale con disabilità e obiettivi annuali di crescita.</t>
  </si>
  <si>
    <t>Le comunità non sono considerate in chiave DEIA o sono citate solo attraverso iniziative filantropiche isolate e non strutturate.</t>
  </si>
  <si>
    <t>Sono presenti progetti sociali o partnership con comunità e gruppi sottorappresentati, ma senza obiettivi chiari, indicatori o misurazione dell'impatto.</t>
  </si>
  <si>
    <t>I programmi sono chiaramente collegati a inclusione, equità o gruppi sottorappresentati e sono supportati da dati su beneficiari/ie, investimenti o attività, ma i risultati sociali sono misurati solo parzialmente.</t>
  </si>
  <si>
    <t>Le iniziative ccollegate alle comunità sono strutturate con obiettivi, target e risultati misurabili. Esempio: non solo numero di partecipanti, ma tasso di occupazione o miglioramento delle competenze dopo il programma.</t>
  </si>
  <si>
    <t>Prodotti, servizi e customer experience non sono analizzati rispetto ad accessibilità, inclusione o bisogni di utenti diversi.</t>
  </si>
  <si>
    <t>Il report richiama genericamente sicurezza, qualità o attenzione al cliente e può citare l'accessibilità, ma senza criteri di inclusive design, processi o evidenze specifiche.</t>
  </si>
  <si>
    <t>Sono documentate caratteristiche o iniziative concrete di accessibilità/inclusività per gli utenti, ad esempio design ergonomico o soluzioni per persone con disabilità, ma mancano KPI/target DEIA dedicati.</t>
  </si>
  <si>
    <t>L'inclusività del prodotto/servizio è gestita come tema strutturato con standard o policy, KPI, target, test con utenti diversi e risultati misurati. Esempio: percentuale di prodotti conformi a criteri di accessibility by design e feedback specifico degli utenti appartenenti a gruppi sottorappresentati.</t>
  </si>
  <si>
    <t>Religione e credo non sono menzionati né nelle policy di non-discriminazione né nelle evidenze di reporting.</t>
  </si>
  <si>
    <t>Religione/credo sono esplicitamente inclusi tra le caratteristiche protette in policy o Codice di Condotta/Codice Etico, ma non sono riportate iniziative, dati o evidenze ulteriori.</t>
  </si>
  <si>
    <t>Oltre alla tutela formale sono descritte pratiche o iniziative pertinenti, ad esempio accomodamenti religiosi, flessibilità oraria, network o casi gestiti; mancano però KPI/target strutturati.</t>
  </si>
  <si>
    <t>La dimensione è presidiata con policy, azioni, dati/KPI e risultati specifici, nel rispetto dei vincoli di privacy. Esempio: monitoraggio delle richieste di accomodamento religioso e relativa soddisfazione/esito, con trend e responsabilità definite.</t>
  </si>
  <si>
    <t>La disabilità non è citata o compare solo in modo episodico, senza collegamenti a inclusione, accessibilità o occupazione.</t>
  </si>
  <si>
    <t>La disabilità è riconosciuta come caratteristica presidiata e/o sono citate genericamente accessibilità e pari opportunità, ma senza dati o programmi documentati.</t>
  </si>
  <si>
    <t>Sono presenti iniziative specifiche e dati quantitativi, ad esempio quota di dipendenti con disabilità, accomodamenti ragionevoli o programmi dedicati, ma mancano target/risultati e completi su assunzione, retention, carriera o accessibilità.</t>
  </si>
  <si>
    <t>L'inclusione della disabilità è misurata lungo più dimensioni con policy, programmi, KPI, target e risultati. Esempio: dati di rappresentanza integrati da indicatori su accomodamenti, accessibilità e benchmark esterni come il Disability Equality Index.</t>
  </si>
  <si>
    <t>Età e generazioni non sono trattate come dimensione DEIA o compaiono solo in tabelle anagrafiche non commentate.</t>
  </si>
  <si>
    <t>Il report include un richiamo alla non-discriminazione per età o dati demografici di base, ma senza iniziative o analisi specifiche.</t>
  </si>
  <si>
    <t>Sono disponibili dati per fasce d'età e/o iniziative intergenerazionali, attività di mentoring o specificatamente legate alla convivenza di più generazioni, ma senza target e risultati strutturati.</t>
  </si>
  <si>
    <t>La dimensione generazionale è gestita con policy, iniziative dedicate, KPI, target e risultati. Esempio: dati su hiring/turnover/promotion per fascia d'età, programmi intergenerazionali e obiettivi di riduzione di gap specifici.</t>
  </si>
  <si>
    <t>Etnia o background etnico non sono menzionati nel reporting o nelle policy applicabili.</t>
  </si>
  <si>
    <t>Etnia/background etnico sono incluse tra le caratteristiche presidiate nelle policy, ma non sono presenti dati o iniziative specifiche. Attenzione: i dati sulla nazionalità non sono automaticamente equivalenti a dati sull'etnia.</t>
  </si>
  <si>
    <t>Oltre alla tutela formale sono presenti programmi, network o indicatori indiretti pertinenti, ma la misurazione dell'etnia resta parziale o limitata da vincoli normativi/privacy.</t>
  </si>
  <si>
    <t>Dove legalmente possibile, l'organizzazione dispone di una disclosure strutturata su rappresentanza ed equità etnica, con KPI, target, programmi e risultati, distinguendo chiaramente etnia da nazionalità.</t>
  </si>
  <si>
    <t>Il genere non è trattato in modo specifico o compare solo come principio generale di pari opportunità senza dati.</t>
  </si>
  <si>
    <t>Sono presenti riferimenti al'equità di genere o non-discriminazione e qualche dato descrittivo, ma senza analisi strutturata, target o programmi dedicati.</t>
  </si>
  <si>
    <t>Il report presenta KPI di rappresentanza e/o pay gap e descrive iniziative specifiche, ma target, trend o risultatie non sono completi o non coprono i principali livelli organizzativi.</t>
  </si>
  <si>
    <t>Il genere è monitorato con un sistema completo di policy, azioni, KPI, target e risultati: forza lavoro, management/top management, equità salariale, hiring/promotion e trend. Esempio: target di rappresentanza con analisi attuale e di gap, oltre a indicatori di equità salariale per genere.</t>
  </si>
  <si>
    <t>Orientamento sessuale e identità di genere non sono menzionati nelle policy o nel reporting.</t>
  </si>
  <si>
    <t>LGBTQIA+/orientamento sessuale/identità di genere sono riconosciuti nelle policy di non-discriminazione, ma senza iniziative, network o evidenze specifiche.</t>
  </si>
  <si>
    <t>Sono documentate iniziative dedicate, ad esempio ERG, partecipazione a eventi Pride, mentoring o consapevolezza, ma mancano KPI/target e misurazione dei risultati.</t>
  </si>
  <si>
    <t>La dimensione è supportata da policy, programmi strutturati, KPI/target e risultati, ad esempio misurazione del senso di appartenenza e della percezione di sicurezza delle persone LGBTQIA+ o indicatori di partecipazione ed efficacia dei programmi, nel rispetto della privacy.</t>
  </si>
  <si>
    <t>Lo status socio-economico non compare né come dimensione della workforce né nelle iniziative rivolte alle comunità.</t>
  </si>
  <si>
    <t>Il tema emerge genericamente attraverso riferimenti a gruppi sottorappresentati, disagio economico o accesso alle opportunità, ma senza programmi o metriche chiaramente attribuibili.</t>
  </si>
  <si>
    <t>Sono presenti programmi specifici rivolti a persone svantaggiate, giovani, persone con background migratorio o categorie con minore accesso alle opportunità e sono riportati alcuni dati su partecipanti/beneficiari/ie, ma mancano KPI/target di risultato.</t>
  </si>
  <si>
    <t>L'organizzazione misura in modo strutturato l'inclusione socio-economica attraverso programmi, target e outcome. Esempio: accesso a formazione/lavoro per gruppi sottorappresentati con tassi di completamento, inserimento lavorativo o miglioramento reddituale misurati nel tempo.</t>
  </si>
  <si>
    <t>L'aspetto fisico non è menzionato né ricompreso in formulazioni assimilabili nelle policy di non-discriminazione.</t>
  </si>
  <si>
    <t>La policy presidia  genericamente caratteristiche fisiche, salute o altre condizioni personali, ma senza iniziative o evidenze specifiche sull'aspetto fisico.</t>
  </si>
  <si>
    <t>Sono presenti riferimenti più espliciti agli stereotipi e ai pregiudzi legati all'aspetto fisico o pratiche inclusive pertinenti, ma senza KPI/target dedicati.</t>
  </si>
  <si>
    <t>L'organizzazione affronta esplicitamente i bias legati all'aspetto fisico con policy, formazione, monitoraggio e risultati misurabili. È un livello raro: richiede evidenze specifiche e non può essere assegnato sulla sola base di clausole generali di non-discriminazione.</t>
  </si>
  <si>
    <t>Il monitoraggio DEIA è sistematico e trasparente: KPI multidimensionali, target, trend, frequenza di misurazione, responsabilità e commento degli scostamenti. Esempio: dashboard periodica.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</si>
</sst>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theme="6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auto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Border="1" applyAlignment="1">
      <alignment vertical="top" wrapText="1"/>
    </xf>
    <xf numFmtId="0" fontId="11" fillId="7" borderId="0" xfId="0" applyFont="1" applyFill="1" applyAlignment="1">
      <alignment horizontal="center" wrapText="1"/>
    </xf>
    <xf numFmtId="0" fontId="12" fillId="8" borderId="0" xfId="0" applyFont="1" applyFill="1" applyAlignment="1">
      <alignment horizontal="center" wrapText="1"/>
    </xf>
    <xf numFmtId="0" fontId="1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0" fillId="9" borderId="0" xfId="0" applyFill="1" applyAlignment="1">
      <alignment horizontal="left" vertical="top" wrapText="1"/>
    </xf>
    <xf numFmtId="0" fontId="0" fillId="10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  <xf numFmtId="0" fontId="4" fillId="0" borderId="0" xfId="0" applyFont="1"/>
  </cellXfs>
  <cellStyles count="3">
    <cellStyle name="Normale" xfId="0" builtinId="0"/>
    <cellStyle name="Normale 2" xfId="2" xr:uid="{00000000-0005-0000-0000-000002000000}"/>
    <cellStyle name="Normale 3" xfId="1" xr:uid="{00000000-0005-0000-0000-000001000000}"/>
  </cellStyles>
  <dxfs count="3">
    <dxf>
      <fill>
        <patternFill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Maturità per Macro-Area – Media vs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Media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Strategia</c:v>
                </c:pt>
                <c:pt idx="1">
                  <c:v>Processi</c:v>
                </c:pt>
                <c:pt idx="2">
                  <c:v>Cultura</c:v>
                </c:pt>
                <c:pt idx="3">
                  <c:v>Mercato</c:v>
                </c:pt>
              </c:strCache>
            </c:strRef>
          </c:cat>
          <c:val>
            <c:numRef>
              <c:f>Chart_Data!$B$2:$B$5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8-7C4B-92B6-A3F0FF733DC1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Strategia</c:v>
                </c:pt>
                <c:pt idx="1">
                  <c:v>Processi</c:v>
                </c:pt>
                <c:pt idx="2">
                  <c:v>Cultura</c:v>
                </c:pt>
                <c:pt idx="3">
                  <c:v>Mercato</c:v>
                </c:pt>
              </c:strCache>
            </c:strRef>
          </c:cat>
          <c:val>
            <c:numRef>
              <c:f>Chart_Data!$C$2:$C$5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8-7C4B-92B6-A3F0FF733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Aree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Punteggio (1–4)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26</xdr:row>
      <xdr:rowOff>114300</xdr:rowOff>
    </xdr:from>
    <xdr:ext cx="6134100" cy="3225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velli_Maturit&#224;_Extend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 e istruzioni"/>
      <sheetName val="Dataset_reporting"/>
      <sheetName val="Livelli_Maturità_Extended Light"/>
      <sheetName val="Livelli_Maturità_Extended Deep"/>
      <sheetName val="Scoring"/>
      <sheetName val="Dashboard_4Aree"/>
      <sheetName val="Macro_Aree"/>
      <sheetName val="Chart_Data"/>
      <sheetName val="Appunti"/>
      <sheetName val="Note analisi"/>
    </sheetNames>
    <sheetDataSet>
      <sheetData sheetId="0" refreshError="1"/>
      <sheetData sheetId="1">
        <row r="2">
          <cell r="U2">
            <v>3</v>
          </cell>
          <cell r="AD2">
            <v>1.75</v>
          </cell>
        </row>
        <row r="3">
          <cell r="U3">
            <v>2.9090909090909092</v>
          </cell>
          <cell r="AD3">
            <v>2.125</v>
          </cell>
        </row>
        <row r="4">
          <cell r="U4">
            <v>3.8181818181818183</v>
          </cell>
          <cell r="AD4">
            <v>3.25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velli_Maturità_Extended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ontiCodingIveco" displayName="Tbl_FontiCodingIveco" ref="A1:C73">
  <tableColumns count="3">
    <tableColumn id="3" xr3:uid="{00000000-0010-0000-0000-000003000000}" name="Topic / dimensione" dataDxfId="2"/>
    <tableColumn id="4" xr3:uid="{00000000-0010-0000-0000-000004000000}" name="Codifica finale" dataDxfId="1"/>
    <tableColumn id="8" xr3:uid="{00000000-0010-0000-0000-000008000000}" name="Razionale di scoring / limit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tabSelected="1" zoomScale="160" zoomScaleNormal="16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62" customWidth="1"/>
  </cols>
  <sheetData>
    <row r="1" spans="1:3" ht="16" customHeight="1" x14ac:dyDescent="0.2">
      <c r="A1" s="32" t="s">
        <v>6</v>
      </c>
      <c r="B1" s="32" t="s">
        <v>7</v>
      </c>
      <c r="C1" s="32" t="s">
        <v>8</v>
      </c>
    </row>
    <row r="2" spans="1:3" ht="72" customHeight="1" x14ac:dyDescent="0.2">
      <c r="A2" s="33" t="s">
        <v>1</v>
      </c>
      <c r="B2" s="34">
        <v>1</v>
      </c>
      <c r="C2" s="35" t="s">
        <v>170</v>
      </c>
    </row>
    <row r="3" spans="1:3" ht="72" customHeight="1" x14ac:dyDescent="0.2">
      <c r="A3" s="33" t="s">
        <v>1</v>
      </c>
      <c r="B3" s="34">
        <v>2</v>
      </c>
      <c r="C3" s="36" t="s">
        <v>171</v>
      </c>
    </row>
    <row r="4" spans="1:3" ht="76" customHeight="1" x14ac:dyDescent="0.2">
      <c r="A4" s="33" t="s">
        <v>1</v>
      </c>
      <c r="B4" s="34">
        <v>3</v>
      </c>
      <c r="C4" s="35" t="s">
        <v>172</v>
      </c>
    </row>
    <row r="5" spans="1:3" ht="72" customHeight="1" x14ac:dyDescent="0.2">
      <c r="A5" s="33" t="s">
        <v>1</v>
      </c>
      <c r="B5" s="34">
        <v>4</v>
      </c>
      <c r="C5" s="36" t="s">
        <v>173</v>
      </c>
    </row>
    <row r="6" spans="1:3" ht="72" customHeight="1" x14ac:dyDescent="0.2">
      <c r="A6" s="33" t="s">
        <v>9</v>
      </c>
      <c r="B6" s="34">
        <v>1</v>
      </c>
      <c r="C6" s="37" t="s">
        <v>174</v>
      </c>
    </row>
    <row r="7" spans="1:3" ht="72" customHeight="1" x14ac:dyDescent="0.2">
      <c r="A7" s="33" t="s">
        <v>9</v>
      </c>
      <c r="B7" s="34">
        <v>2</v>
      </c>
      <c r="C7" s="37" t="s">
        <v>175</v>
      </c>
    </row>
    <row r="8" spans="1:3" ht="72" customHeight="1" x14ac:dyDescent="0.2">
      <c r="A8" s="33" t="s">
        <v>9</v>
      </c>
      <c r="B8" s="34">
        <v>3</v>
      </c>
      <c r="C8" s="37" t="s">
        <v>176</v>
      </c>
    </row>
    <row r="9" spans="1:3" ht="72" customHeight="1" x14ac:dyDescent="0.2">
      <c r="A9" s="33" t="s">
        <v>9</v>
      </c>
      <c r="B9" s="34">
        <v>4</v>
      </c>
      <c r="C9" s="37" t="s">
        <v>177</v>
      </c>
    </row>
    <row r="10" spans="1:3" ht="72" customHeight="1" x14ac:dyDescent="0.2">
      <c r="A10" s="33" t="s">
        <v>10</v>
      </c>
      <c r="B10" s="34">
        <v>1</v>
      </c>
      <c r="C10" s="37" t="s">
        <v>178</v>
      </c>
    </row>
    <row r="11" spans="1:3" ht="72" customHeight="1" x14ac:dyDescent="0.2">
      <c r="A11" s="33" t="s">
        <v>10</v>
      </c>
      <c r="B11" s="34">
        <v>2</v>
      </c>
      <c r="C11" s="37" t="s">
        <v>179</v>
      </c>
    </row>
    <row r="12" spans="1:3" ht="72" customHeight="1" x14ac:dyDescent="0.2">
      <c r="A12" s="33" t="s">
        <v>10</v>
      </c>
      <c r="B12" s="34">
        <v>3</v>
      </c>
      <c r="C12" s="37" t="s">
        <v>180</v>
      </c>
    </row>
    <row r="13" spans="1:3" ht="72" customHeight="1" x14ac:dyDescent="0.2">
      <c r="A13" s="33" t="s">
        <v>10</v>
      </c>
      <c r="B13" s="34">
        <v>4</v>
      </c>
      <c r="C13" s="37" t="s">
        <v>181</v>
      </c>
    </row>
    <row r="14" spans="1:3" ht="72" customHeight="1" x14ac:dyDescent="0.2">
      <c r="A14" s="33" t="s">
        <v>11</v>
      </c>
      <c r="B14" s="34">
        <v>1</v>
      </c>
      <c r="C14" s="37" t="s">
        <v>182</v>
      </c>
    </row>
    <row r="15" spans="1:3" ht="72" customHeight="1" x14ac:dyDescent="0.2">
      <c r="A15" s="33" t="s">
        <v>11</v>
      </c>
      <c r="B15" s="34">
        <v>2</v>
      </c>
      <c r="C15" s="37" t="s">
        <v>183</v>
      </c>
    </row>
    <row r="16" spans="1:3" ht="72" customHeight="1" x14ac:dyDescent="0.2">
      <c r="A16" s="33" t="s">
        <v>11</v>
      </c>
      <c r="B16" s="34">
        <v>3</v>
      </c>
      <c r="C16" s="37" t="s">
        <v>184</v>
      </c>
    </row>
    <row r="17" spans="1:3" ht="72" customHeight="1" x14ac:dyDescent="0.2">
      <c r="A17" s="33" t="s">
        <v>11</v>
      </c>
      <c r="B17" s="34">
        <v>4</v>
      </c>
      <c r="C17" s="37" t="s">
        <v>185</v>
      </c>
    </row>
    <row r="18" spans="1:3" ht="72" customHeight="1" x14ac:dyDescent="0.2">
      <c r="A18" s="33" t="s">
        <v>12</v>
      </c>
      <c r="B18" s="34">
        <v>1</v>
      </c>
      <c r="C18" s="37" t="s">
        <v>186</v>
      </c>
    </row>
    <row r="19" spans="1:3" ht="72" customHeight="1" x14ac:dyDescent="0.2">
      <c r="A19" s="33" t="s">
        <v>12</v>
      </c>
      <c r="B19" s="34">
        <v>2</v>
      </c>
      <c r="C19" s="37" t="s">
        <v>187</v>
      </c>
    </row>
    <row r="20" spans="1:3" ht="72" customHeight="1" x14ac:dyDescent="0.2">
      <c r="A20" s="33" t="s">
        <v>12</v>
      </c>
      <c r="B20" s="34">
        <v>3</v>
      </c>
      <c r="C20" s="37" t="s">
        <v>188</v>
      </c>
    </row>
    <row r="21" spans="1:3" ht="72" customHeight="1" x14ac:dyDescent="0.2">
      <c r="A21" s="33" t="s">
        <v>12</v>
      </c>
      <c r="B21" s="34">
        <v>4</v>
      </c>
      <c r="C21" s="37" t="s">
        <v>189</v>
      </c>
    </row>
    <row r="22" spans="1:3" ht="72" customHeight="1" x14ac:dyDescent="0.2">
      <c r="A22" s="33" t="s">
        <v>2</v>
      </c>
      <c r="B22" s="34">
        <v>1</v>
      </c>
      <c r="C22" s="37" t="s">
        <v>190</v>
      </c>
    </row>
    <row r="23" spans="1:3" ht="72" customHeight="1" x14ac:dyDescent="0.2">
      <c r="A23" s="33" t="s">
        <v>2</v>
      </c>
      <c r="B23" s="34">
        <v>2</v>
      </c>
      <c r="C23" s="37" t="s">
        <v>191</v>
      </c>
    </row>
    <row r="24" spans="1:3" ht="72" customHeight="1" x14ac:dyDescent="0.2">
      <c r="A24" s="33" t="s">
        <v>2</v>
      </c>
      <c r="B24" s="34">
        <v>3</v>
      </c>
      <c r="C24" s="37" t="s">
        <v>192</v>
      </c>
    </row>
    <row r="25" spans="1:3" ht="72" customHeight="1" x14ac:dyDescent="0.2">
      <c r="A25" s="33" t="s">
        <v>2</v>
      </c>
      <c r="B25" s="34">
        <v>4</v>
      </c>
      <c r="C25" s="37" t="s">
        <v>193</v>
      </c>
    </row>
    <row r="26" spans="1:3" ht="72" customHeight="1" x14ac:dyDescent="0.2">
      <c r="A26" s="33" t="s">
        <v>3</v>
      </c>
      <c r="B26" s="34">
        <v>1</v>
      </c>
      <c r="C26" s="37" t="s">
        <v>194</v>
      </c>
    </row>
    <row r="27" spans="1:3" ht="72" customHeight="1" x14ac:dyDescent="0.2">
      <c r="A27" s="33" t="s">
        <v>3</v>
      </c>
      <c r="B27" s="34">
        <v>2</v>
      </c>
      <c r="C27" s="37" t="s">
        <v>195</v>
      </c>
    </row>
    <row r="28" spans="1:3" ht="72" customHeight="1" x14ac:dyDescent="0.2">
      <c r="A28" s="33" t="s">
        <v>3</v>
      </c>
      <c r="B28" s="34">
        <v>3</v>
      </c>
      <c r="C28" s="37" t="s">
        <v>196</v>
      </c>
    </row>
    <row r="29" spans="1:3" ht="72" customHeight="1" x14ac:dyDescent="0.2">
      <c r="A29" s="33" t="s">
        <v>3</v>
      </c>
      <c r="B29" s="34">
        <v>4</v>
      </c>
      <c r="C29" s="37" t="s">
        <v>241</v>
      </c>
    </row>
    <row r="30" spans="1:3" ht="72" customHeight="1" x14ac:dyDescent="0.2">
      <c r="A30" s="33" t="s">
        <v>13</v>
      </c>
      <c r="B30" s="34">
        <v>1</v>
      </c>
      <c r="C30" s="37" t="s">
        <v>197</v>
      </c>
    </row>
    <row r="31" spans="1:3" ht="72" customHeight="1" x14ac:dyDescent="0.2">
      <c r="A31" s="33" t="s">
        <v>13</v>
      </c>
      <c r="B31" s="34">
        <v>2</v>
      </c>
      <c r="C31" s="37" t="s">
        <v>198</v>
      </c>
    </row>
    <row r="32" spans="1:3" ht="72" customHeight="1" x14ac:dyDescent="0.2">
      <c r="A32" s="33" t="s">
        <v>13</v>
      </c>
      <c r="B32" s="34">
        <v>3</v>
      </c>
      <c r="C32" s="37" t="s">
        <v>199</v>
      </c>
    </row>
    <row r="33" spans="1:3" ht="80" x14ac:dyDescent="0.2">
      <c r="A33" s="33" t="s">
        <v>13</v>
      </c>
      <c r="B33" s="34">
        <v>4</v>
      </c>
      <c r="C33" s="37" t="s">
        <v>200</v>
      </c>
    </row>
    <row r="34" spans="1:3" ht="72" customHeight="1" x14ac:dyDescent="0.2">
      <c r="A34" s="33" t="s">
        <v>4</v>
      </c>
      <c r="B34" s="34">
        <v>1</v>
      </c>
      <c r="C34" s="37" t="s">
        <v>201</v>
      </c>
    </row>
    <row r="35" spans="1:3" ht="72" customHeight="1" x14ac:dyDescent="0.2">
      <c r="A35" s="33" t="s">
        <v>4</v>
      </c>
      <c r="B35" s="34">
        <v>2</v>
      </c>
      <c r="C35" s="37" t="s">
        <v>202</v>
      </c>
    </row>
    <row r="36" spans="1:3" ht="72" customHeight="1" x14ac:dyDescent="0.2">
      <c r="A36" s="33" t="s">
        <v>4</v>
      </c>
      <c r="B36" s="34">
        <v>3</v>
      </c>
      <c r="C36" s="37" t="s">
        <v>203</v>
      </c>
    </row>
    <row r="37" spans="1:3" ht="72" customHeight="1" x14ac:dyDescent="0.2">
      <c r="A37" s="33" t="s">
        <v>4</v>
      </c>
      <c r="B37" s="34">
        <v>4</v>
      </c>
      <c r="C37" s="37" t="s">
        <v>204</v>
      </c>
    </row>
    <row r="38" spans="1:3" ht="72" customHeight="1" x14ac:dyDescent="0.2">
      <c r="A38" s="33" t="s">
        <v>5</v>
      </c>
      <c r="B38" s="34">
        <v>1</v>
      </c>
      <c r="C38" s="37" t="s">
        <v>205</v>
      </c>
    </row>
    <row r="39" spans="1:3" ht="72" customHeight="1" x14ac:dyDescent="0.2">
      <c r="A39" s="33" t="s">
        <v>5</v>
      </c>
      <c r="B39" s="34">
        <v>2</v>
      </c>
      <c r="C39" s="37" t="s">
        <v>206</v>
      </c>
    </row>
    <row r="40" spans="1:3" ht="72" customHeight="1" x14ac:dyDescent="0.2">
      <c r="A40" s="33" t="s">
        <v>5</v>
      </c>
      <c r="B40" s="34">
        <v>3</v>
      </c>
      <c r="C40" s="37" t="s">
        <v>207</v>
      </c>
    </row>
    <row r="41" spans="1:3" ht="72" customHeight="1" x14ac:dyDescent="0.2">
      <c r="A41" s="33" t="s">
        <v>5</v>
      </c>
      <c r="B41" s="34">
        <v>4</v>
      </c>
      <c r="C41" s="37" t="s">
        <v>208</v>
      </c>
    </row>
    <row r="42" spans="1:3" ht="72" customHeight="1" x14ac:dyDescent="0.2">
      <c r="A42" s="33" t="s">
        <v>14</v>
      </c>
      <c r="B42" s="34">
        <v>1</v>
      </c>
      <c r="C42" s="37" t="s">
        <v>209</v>
      </c>
    </row>
    <row r="43" spans="1:3" ht="72" customHeight="1" x14ac:dyDescent="0.2">
      <c r="A43" s="33" t="s">
        <v>14</v>
      </c>
      <c r="B43" s="34">
        <v>2</v>
      </c>
      <c r="C43" s="37" t="s">
        <v>210</v>
      </c>
    </row>
    <row r="44" spans="1:3" ht="72" customHeight="1" x14ac:dyDescent="0.2">
      <c r="A44" s="33" t="s">
        <v>14</v>
      </c>
      <c r="B44" s="34">
        <v>3</v>
      </c>
      <c r="C44" s="37" t="s">
        <v>211</v>
      </c>
    </row>
    <row r="45" spans="1:3" ht="72" customHeight="1" x14ac:dyDescent="0.2">
      <c r="A45" s="33" t="s">
        <v>14</v>
      </c>
      <c r="B45" s="34">
        <v>4</v>
      </c>
      <c r="C45" s="37" t="s">
        <v>212</v>
      </c>
    </row>
    <row r="46" spans="1:3" ht="72" customHeight="1" x14ac:dyDescent="0.2">
      <c r="A46" s="33" t="s">
        <v>15</v>
      </c>
      <c r="B46" s="34">
        <v>1</v>
      </c>
      <c r="C46" s="37" t="s">
        <v>213</v>
      </c>
    </row>
    <row r="47" spans="1:3" ht="72" customHeight="1" x14ac:dyDescent="0.2">
      <c r="A47" s="33" t="s">
        <v>15</v>
      </c>
      <c r="B47" s="34">
        <v>2</v>
      </c>
      <c r="C47" s="37" t="s">
        <v>214</v>
      </c>
    </row>
    <row r="48" spans="1:3" ht="72" customHeight="1" x14ac:dyDescent="0.2">
      <c r="A48" s="33" t="s">
        <v>15</v>
      </c>
      <c r="B48" s="34">
        <v>3</v>
      </c>
      <c r="C48" s="37" t="s">
        <v>215</v>
      </c>
    </row>
    <row r="49" spans="1:3" ht="72" customHeight="1" x14ac:dyDescent="0.2">
      <c r="A49" s="33" t="s">
        <v>15</v>
      </c>
      <c r="B49" s="34">
        <v>4</v>
      </c>
      <c r="C49" s="37" t="s">
        <v>216</v>
      </c>
    </row>
    <row r="50" spans="1:3" ht="72" customHeight="1" x14ac:dyDescent="0.2">
      <c r="A50" s="33" t="s">
        <v>16</v>
      </c>
      <c r="B50" s="34">
        <v>1</v>
      </c>
      <c r="C50" s="37" t="s">
        <v>217</v>
      </c>
    </row>
    <row r="51" spans="1:3" ht="72" customHeight="1" x14ac:dyDescent="0.2">
      <c r="A51" s="33" t="s">
        <v>16</v>
      </c>
      <c r="B51" s="34">
        <v>2</v>
      </c>
      <c r="C51" s="37" t="s">
        <v>218</v>
      </c>
    </row>
    <row r="52" spans="1:3" ht="72" customHeight="1" x14ac:dyDescent="0.2">
      <c r="A52" s="33" t="s">
        <v>16</v>
      </c>
      <c r="B52" s="34">
        <v>3</v>
      </c>
      <c r="C52" s="37" t="s">
        <v>219</v>
      </c>
    </row>
    <row r="53" spans="1:3" ht="72" customHeight="1" x14ac:dyDescent="0.2">
      <c r="A53" s="33" t="s">
        <v>16</v>
      </c>
      <c r="B53" s="34">
        <v>4</v>
      </c>
      <c r="C53" s="37" t="s">
        <v>220</v>
      </c>
    </row>
    <row r="54" spans="1:3" ht="72" customHeight="1" x14ac:dyDescent="0.2">
      <c r="A54" s="33" t="s">
        <v>17</v>
      </c>
      <c r="B54" s="34">
        <v>1</v>
      </c>
      <c r="C54" s="37" t="s">
        <v>221</v>
      </c>
    </row>
    <row r="55" spans="1:3" ht="72" customHeight="1" x14ac:dyDescent="0.2">
      <c r="A55" s="33" t="s">
        <v>17</v>
      </c>
      <c r="B55" s="34">
        <v>2</v>
      </c>
      <c r="C55" s="37" t="s">
        <v>222</v>
      </c>
    </row>
    <row r="56" spans="1:3" ht="72" customHeight="1" x14ac:dyDescent="0.2">
      <c r="A56" s="33" t="s">
        <v>17</v>
      </c>
      <c r="B56" s="34">
        <v>3</v>
      </c>
      <c r="C56" s="37" t="s">
        <v>223</v>
      </c>
    </row>
    <row r="57" spans="1:3" ht="72" customHeight="1" x14ac:dyDescent="0.2">
      <c r="A57" s="33" t="s">
        <v>17</v>
      </c>
      <c r="B57" s="34">
        <v>4</v>
      </c>
      <c r="C57" s="37" t="s">
        <v>224</v>
      </c>
    </row>
    <row r="58" spans="1:3" ht="72" customHeight="1" x14ac:dyDescent="0.2">
      <c r="A58" s="33" t="s">
        <v>18</v>
      </c>
      <c r="B58" s="34">
        <v>1</v>
      </c>
      <c r="C58" s="37" t="s">
        <v>225</v>
      </c>
    </row>
    <row r="59" spans="1:3" ht="72" customHeight="1" x14ac:dyDescent="0.2">
      <c r="A59" s="33" t="s">
        <v>18</v>
      </c>
      <c r="B59" s="34">
        <v>2</v>
      </c>
      <c r="C59" s="37" t="s">
        <v>226</v>
      </c>
    </row>
    <row r="60" spans="1:3" ht="72" customHeight="1" x14ac:dyDescent="0.2">
      <c r="A60" s="33" t="s">
        <v>18</v>
      </c>
      <c r="B60" s="34">
        <v>3</v>
      </c>
      <c r="C60" s="37" t="s">
        <v>227</v>
      </c>
    </row>
    <row r="61" spans="1:3" ht="72" customHeight="1" x14ac:dyDescent="0.2">
      <c r="A61" s="33" t="s">
        <v>18</v>
      </c>
      <c r="B61" s="34">
        <v>4</v>
      </c>
      <c r="C61" s="37" t="s">
        <v>228</v>
      </c>
    </row>
    <row r="62" spans="1:3" ht="72" customHeight="1" x14ac:dyDescent="0.2">
      <c r="A62" s="33" t="s">
        <v>19</v>
      </c>
      <c r="B62" s="34">
        <v>1</v>
      </c>
      <c r="C62" s="37" t="s">
        <v>229</v>
      </c>
    </row>
    <row r="63" spans="1:3" ht="72" customHeight="1" x14ac:dyDescent="0.2">
      <c r="A63" s="33" t="s">
        <v>19</v>
      </c>
      <c r="B63" s="34">
        <v>2</v>
      </c>
      <c r="C63" s="37" t="s">
        <v>230</v>
      </c>
    </row>
    <row r="64" spans="1:3" ht="72" customHeight="1" x14ac:dyDescent="0.2">
      <c r="A64" s="33" t="s">
        <v>19</v>
      </c>
      <c r="B64" s="34">
        <v>3</v>
      </c>
      <c r="C64" s="37" t="s">
        <v>231</v>
      </c>
    </row>
    <row r="65" spans="1:3" ht="72" customHeight="1" x14ac:dyDescent="0.2">
      <c r="A65" s="33" t="s">
        <v>19</v>
      </c>
      <c r="B65" s="34">
        <v>4</v>
      </c>
      <c r="C65" s="37" t="s">
        <v>232</v>
      </c>
    </row>
    <row r="66" spans="1:3" ht="72" customHeight="1" x14ac:dyDescent="0.2">
      <c r="A66" s="33" t="s">
        <v>20</v>
      </c>
      <c r="B66" s="34">
        <v>1</v>
      </c>
      <c r="C66" s="37" t="s">
        <v>233</v>
      </c>
    </row>
    <row r="67" spans="1:3" ht="72" customHeight="1" x14ac:dyDescent="0.2">
      <c r="A67" s="33" t="s">
        <v>20</v>
      </c>
      <c r="B67" s="34">
        <v>2</v>
      </c>
      <c r="C67" s="37" t="s">
        <v>234</v>
      </c>
    </row>
    <row r="68" spans="1:3" ht="72" customHeight="1" x14ac:dyDescent="0.2">
      <c r="A68" s="33" t="s">
        <v>20</v>
      </c>
      <c r="B68" s="34">
        <v>3</v>
      </c>
      <c r="C68" s="37" t="s">
        <v>235</v>
      </c>
    </row>
    <row r="69" spans="1:3" ht="72" customHeight="1" x14ac:dyDescent="0.2">
      <c r="A69" s="33" t="s">
        <v>20</v>
      </c>
      <c r="B69" s="34">
        <v>4</v>
      </c>
      <c r="C69" s="37" t="s">
        <v>236</v>
      </c>
    </row>
    <row r="70" spans="1:3" ht="72" customHeight="1" x14ac:dyDescent="0.2">
      <c r="A70" s="33" t="s">
        <v>21</v>
      </c>
      <c r="B70" s="34">
        <v>1</v>
      </c>
      <c r="C70" s="37" t="s">
        <v>237</v>
      </c>
    </row>
    <row r="71" spans="1:3" ht="72" customHeight="1" x14ac:dyDescent="0.2">
      <c r="A71" s="33" t="s">
        <v>21</v>
      </c>
      <c r="B71" s="34">
        <v>2</v>
      </c>
      <c r="C71" s="37" t="s">
        <v>238</v>
      </c>
    </row>
    <row r="72" spans="1:3" ht="72" customHeight="1" x14ac:dyDescent="0.2">
      <c r="A72" s="33" t="s">
        <v>21</v>
      </c>
      <c r="B72" s="34">
        <v>3</v>
      </c>
      <c r="C72" s="37" t="s">
        <v>239</v>
      </c>
    </row>
    <row r="73" spans="1:3" ht="72" customHeight="1" x14ac:dyDescent="0.2">
      <c r="A73" s="33" t="s">
        <v>21</v>
      </c>
      <c r="B73" s="34">
        <v>4</v>
      </c>
      <c r="C73" s="37" t="s">
        <v>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="150" zoomScaleNormal="150" workbookViewId="0">
      <selection activeCell="B11" sqref="B11"/>
    </sheetView>
  </sheetViews>
  <sheetFormatPr baseColWidth="10" defaultColWidth="8.83203125" defaultRowHeight="15" x14ac:dyDescent="0.2"/>
  <cols>
    <col min="1" max="1" width="28" customWidth="1"/>
    <col min="2" max="2" width="75" customWidth="1"/>
    <col min="3" max="3" width="60" customWidth="1"/>
    <col min="4" max="4" width="34" customWidth="1"/>
    <col min="5" max="6" width="16" customWidth="1"/>
  </cols>
  <sheetData>
    <row r="1" spans="1:6" ht="32" customHeight="1" x14ac:dyDescent="0.2">
      <c r="A1" s="30" t="s">
        <v>22</v>
      </c>
      <c r="B1" s="30"/>
      <c r="C1" s="30"/>
      <c r="D1" s="30"/>
      <c r="E1" s="30"/>
      <c r="F1" s="30"/>
    </row>
    <row r="2" spans="1:6" ht="16" customHeight="1" x14ac:dyDescent="0.2">
      <c r="A2" s="1" t="s">
        <v>23</v>
      </c>
      <c r="B2" s="1" t="s">
        <v>24</v>
      </c>
      <c r="C2" s="1"/>
      <c r="D2" s="1"/>
      <c r="E2" s="1"/>
      <c r="F2" s="1"/>
    </row>
    <row r="3" spans="1:6" ht="16" customHeight="1" x14ac:dyDescent="0.2">
      <c r="A3" s="1" t="s">
        <v>25</v>
      </c>
      <c r="B3" s="1" t="s">
        <v>26</v>
      </c>
      <c r="C3" s="1"/>
      <c r="D3" s="1"/>
      <c r="E3" s="1"/>
      <c r="F3" s="1"/>
    </row>
    <row r="4" spans="1:6" ht="48" customHeight="1" x14ac:dyDescent="0.2">
      <c r="A4" s="1" t="s">
        <v>27</v>
      </c>
      <c r="B4" s="1" t="s">
        <v>28</v>
      </c>
      <c r="C4" s="1"/>
      <c r="D4" s="1"/>
      <c r="E4" s="1"/>
      <c r="F4" s="1"/>
    </row>
    <row r="5" spans="1:6" ht="64" customHeight="1" x14ac:dyDescent="0.2">
      <c r="A5" s="1" t="s">
        <v>29</v>
      </c>
      <c r="B5" s="1" t="s">
        <v>30</v>
      </c>
      <c r="C5" s="1"/>
      <c r="D5" s="1"/>
      <c r="E5" s="1"/>
      <c r="F5" s="1"/>
    </row>
    <row r="6" spans="1:6" ht="48" customHeight="1" x14ac:dyDescent="0.2">
      <c r="A6" s="1" t="s">
        <v>31</v>
      </c>
      <c r="B6" s="1" t="s">
        <v>32</v>
      </c>
      <c r="C6" s="1"/>
      <c r="D6" s="1"/>
      <c r="E6" s="1"/>
      <c r="F6" s="1"/>
    </row>
    <row r="7" spans="1:6" ht="64" customHeight="1" x14ac:dyDescent="0.2">
      <c r="A7" s="1"/>
      <c r="B7" s="1"/>
      <c r="C7" s="1"/>
      <c r="D7" s="1"/>
      <c r="E7" s="1"/>
      <c r="F7" s="1"/>
    </row>
    <row r="8" spans="1:6" ht="16" customHeight="1" x14ac:dyDescent="0.2">
      <c r="A8" s="31" t="s">
        <v>33</v>
      </c>
      <c r="B8" s="31" t="s">
        <v>34</v>
      </c>
      <c r="C8" s="31" t="s">
        <v>35</v>
      </c>
      <c r="D8" s="31" t="s">
        <v>36</v>
      </c>
      <c r="E8" s="31" t="s">
        <v>37</v>
      </c>
      <c r="F8" s="31" t="s">
        <v>38</v>
      </c>
    </row>
    <row r="9" spans="1:6" ht="32" customHeight="1" x14ac:dyDescent="0.2">
      <c r="A9" s="1" t="s">
        <v>39</v>
      </c>
      <c r="B9" s="1" t="s">
        <v>40</v>
      </c>
      <c r="C9" s="1" t="s">
        <v>41</v>
      </c>
      <c r="D9" s="1" t="s">
        <v>42</v>
      </c>
      <c r="E9" s="1">
        <f>[1]Dataset_reporting!U2</f>
        <v>3</v>
      </c>
      <c r="F9" s="1">
        <f>[1]Dataset_reporting!AD2</f>
        <v>1.75</v>
      </c>
    </row>
    <row r="10" spans="1:6" ht="32" customHeight="1" x14ac:dyDescent="0.2">
      <c r="A10" s="1" t="s">
        <v>43</v>
      </c>
      <c r="B10" s="1" t="s">
        <v>44</v>
      </c>
      <c r="C10" s="1" t="s">
        <v>45</v>
      </c>
      <c r="D10" s="1" t="s">
        <v>46</v>
      </c>
      <c r="E10" s="1">
        <f>[1]Dataset_reporting!U3</f>
        <v>2.9090909090909092</v>
      </c>
      <c r="F10" s="1">
        <f>[1]Dataset_reporting!AD3</f>
        <v>2.125</v>
      </c>
    </row>
    <row r="11" spans="1:6" ht="48" customHeight="1" x14ac:dyDescent="0.2">
      <c r="A11" s="1" t="s">
        <v>47</v>
      </c>
      <c r="B11" s="1" t="s">
        <v>48</v>
      </c>
      <c r="C11" s="1" t="s">
        <v>49</v>
      </c>
      <c r="D11" s="1" t="s">
        <v>50</v>
      </c>
      <c r="E11" s="1">
        <f>[1]Dataset_reporting!U4</f>
        <v>3.8181818181818183</v>
      </c>
      <c r="F11" s="1">
        <f>[1]Dataset_reporting!AD4</f>
        <v>3.25</v>
      </c>
    </row>
    <row r="12" spans="1:6" ht="64" customHeight="1" x14ac:dyDescent="0.2">
      <c r="A12" s="1"/>
      <c r="B12" s="1"/>
      <c r="C12" s="1"/>
      <c r="D12" s="1"/>
      <c r="E12" s="1"/>
      <c r="F12" s="1"/>
    </row>
    <row r="13" spans="1:6" ht="32" customHeight="1" x14ac:dyDescent="0.2">
      <c r="A13" s="1" t="s">
        <v>51</v>
      </c>
      <c r="B13" s="1" t="s">
        <v>52</v>
      </c>
      <c r="C13" s="1"/>
      <c r="D13" s="1"/>
      <c r="E13" s="1"/>
      <c r="F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A17" sqref="A17"/>
    </sheetView>
  </sheetViews>
  <sheetFormatPr baseColWidth="10" defaultColWidth="8.83203125" defaultRowHeight="15" x14ac:dyDescent="0.2"/>
  <cols>
    <col min="1" max="1" width="18.5" customWidth="1"/>
    <col min="2" max="2" width="18" customWidth="1"/>
    <col min="3" max="3" width="75" customWidth="1"/>
    <col min="4" max="4" width="71" customWidth="1"/>
    <col min="5" max="5" width="20.83203125" customWidth="1"/>
  </cols>
  <sheetData>
    <row r="1" spans="1:5" s="5" customFormat="1" ht="19" customHeight="1" x14ac:dyDescent="0.25">
      <c r="A1" s="17" t="s">
        <v>53</v>
      </c>
      <c r="B1" s="18" t="s">
        <v>54</v>
      </c>
      <c r="C1" s="18" t="s">
        <v>0</v>
      </c>
      <c r="D1" s="18" t="s">
        <v>55</v>
      </c>
      <c r="E1" s="19"/>
    </row>
    <row r="2" spans="1:5" ht="49.5" customHeight="1" x14ac:dyDescent="0.2">
      <c r="A2" s="6" t="s">
        <v>56</v>
      </c>
      <c r="B2" s="6" t="s">
        <v>57</v>
      </c>
      <c r="C2" s="7" t="s">
        <v>58</v>
      </c>
      <c r="D2" s="7" t="s">
        <v>59</v>
      </c>
      <c r="E2" s="6" t="s">
        <v>60</v>
      </c>
    </row>
    <row r="3" spans="1:5" ht="48" customHeight="1" x14ac:dyDescent="0.2">
      <c r="A3" s="6" t="s">
        <v>56</v>
      </c>
      <c r="B3" s="6" t="s">
        <v>61</v>
      </c>
      <c r="C3" s="7" t="s">
        <v>62</v>
      </c>
      <c r="D3" s="7" t="s">
        <v>63</v>
      </c>
      <c r="E3" s="6" t="s">
        <v>64</v>
      </c>
    </row>
    <row r="4" spans="1:5" ht="48" customHeight="1" x14ac:dyDescent="0.2">
      <c r="A4" s="6" t="s">
        <v>56</v>
      </c>
      <c r="B4" s="6" t="s">
        <v>65</v>
      </c>
      <c r="C4" s="7" t="s">
        <v>66</v>
      </c>
      <c r="D4" s="7" t="s">
        <v>67</v>
      </c>
      <c r="E4" s="6" t="s">
        <v>68</v>
      </c>
    </row>
    <row r="5" spans="1:5" ht="48" customHeight="1" x14ac:dyDescent="0.2">
      <c r="A5" s="6" t="s">
        <v>56</v>
      </c>
      <c r="B5" s="6" t="s">
        <v>69</v>
      </c>
      <c r="C5" s="7" t="s">
        <v>70</v>
      </c>
      <c r="D5" s="7" t="s">
        <v>71</v>
      </c>
      <c r="E5" s="6" t="s">
        <v>72</v>
      </c>
    </row>
    <row r="6" spans="1:5" ht="32" customHeight="1" x14ac:dyDescent="0.2">
      <c r="A6" s="8" t="s">
        <v>73</v>
      </c>
      <c r="B6" s="8" t="s">
        <v>57</v>
      </c>
      <c r="C6" s="9" t="s">
        <v>74</v>
      </c>
      <c r="D6" s="9" t="s">
        <v>75</v>
      </c>
      <c r="E6" s="8" t="s">
        <v>76</v>
      </c>
    </row>
    <row r="7" spans="1:5" ht="32" customHeight="1" x14ac:dyDescent="0.2">
      <c r="A7" s="8" t="s">
        <v>73</v>
      </c>
      <c r="B7" s="8" t="s">
        <v>61</v>
      </c>
      <c r="C7" s="9" t="s">
        <v>77</v>
      </c>
      <c r="D7" s="9" t="s">
        <v>78</v>
      </c>
      <c r="E7" s="8" t="s">
        <v>79</v>
      </c>
    </row>
    <row r="8" spans="1:5" ht="32" customHeight="1" x14ac:dyDescent="0.2">
      <c r="A8" s="8" t="s">
        <v>73</v>
      </c>
      <c r="B8" s="8" t="s">
        <v>65</v>
      </c>
      <c r="C8" s="9" t="s">
        <v>80</v>
      </c>
      <c r="D8" s="9" t="s">
        <v>81</v>
      </c>
      <c r="E8" s="8" t="s">
        <v>82</v>
      </c>
    </row>
    <row r="9" spans="1:5" ht="32" customHeight="1" x14ac:dyDescent="0.2">
      <c r="A9" s="8" t="s">
        <v>73</v>
      </c>
      <c r="B9" s="8" t="s">
        <v>69</v>
      </c>
      <c r="C9" s="9" t="s">
        <v>83</v>
      </c>
      <c r="D9" s="9" t="s">
        <v>84</v>
      </c>
      <c r="E9" s="8" t="s">
        <v>85</v>
      </c>
    </row>
    <row r="10" spans="1:5" ht="32" customHeight="1" x14ac:dyDescent="0.2">
      <c r="A10" s="10" t="s">
        <v>86</v>
      </c>
      <c r="B10" s="10" t="s">
        <v>57</v>
      </c>
      <c r="C10" s="11" t="s">
        <v>87</v>
      </c>
      <c r="D10" s="11" t="s">
        <v>88</v>
      </c>
      <c r="E10" s="10" t="s">
        <v>89</v>
      </c>
    </row>
    <row r="11" spans="1:5" ht="32" customHeight="1" x14ac:dyDescent="0.2">
      <c r="A11" s="10" t="s">
        <v>86</v>
      </c>
      <c r="B11" s="10" t="s">
        <v>61</v>
      </c>
      <c r="C11" s="11" t="s">
        <v>90</v>
      </c>
      <c r="D11" s="11" t="s">
        <v>91</v>
      </c>
      <c r="E11" s="10" t="s">
        <v>92</v>
      </c>
    </row>
    <row r="12" spans="1:5" ht="32" customHeight="1" x14ac:dyDescent="0.2">
      <c r="A12" s="10" t="s">
        <v>86</v>
      </c>
      <c r="B12" s="10" t="s">
        <v>65</v>
      </c>
      <c r="C12" s="11" t="s">
        <v>93</v>
      </c>
      <c r="D12" s="11" t="s">
        <v>94</v>
      </c>
      <c r="E12" s="10" t="s">
        <v>95</v>
      </c>
    </row>
    <row r="13" spans="1:5" ht="33" customHeight="1" x14ac:dyDescent="0.2">
      <c r="A13" s="10" t="s">
        <v>86</v>
      </c>
      <c r="B13" s="10" t="s">
        <v>69</v>
      </c>
      <c r="C13" s="11" t="s">
        <v>96</v>
      </c>
      <c r="D13" s="11" t="s">
        <v>97</v>
      </c>
      <c r="E13" s="10" t="s">
        <v>98</v>
      </c>
    </row>
    <row r="14" spans="1:5" ht="32" customHeight="1" x14ac:dyDescent="0.2">
      <c r="A14" s="12" t="s">
        <v>99</v>
      </c>
      <c r="B14" s="12" t="s">
        <v>57</v>
      </c>
      <c r="C14" s="13" t="s">
        <v>100</v>
      </c>
      <c r="D14" s="13" t="s">
        <v>101</v>
      </c>
      <c r="E14" s="12" t="s">
        <v>102</v>
      </c>
    </row>
    <row r="15" spans="1:5" ht="32" customHeight="1" x14ac:dyDescent="0.2">
      <c r="A15" s="12" t="s">
        <v>99</v>
      </c>
      <c r="B15" s="12" t="s">
        <v>61</v>
      </c>
      <c r="C15" s="13" t="s">
        <v>103</v>
      </c>
      <c r="D15" s="13" t="s">
        <v>104</v>
      </c>
      <c r="E15" s="12" t="s">
        <v>105</v>
      </c>
    </row>
    <row r="16" spans="1:5" ht="32" customHeight="1" x14ac:dyDescent="0.2">
      <c r="A16" s="12" t="s">
        <v>99</v>
      </c>
      <c r="B16" s="12" t="s">
        <v>65</v>
      </c>
      <c r="C16" s="13" t="s">
        <v>106</v>
      </c>
      <c r="D16" s="13" t="s">
        <v>107</v>
      </c>
      <c r="E16" s="12" t="s">
        <v>108</v>
      </c>
    </row>
    <row r="17" spans="1:5" ht="32" customHeight="1" x14ac:dyDescent="0.2">
      <c r="A17" s="12" t="s">
        <v>99</v>
      </c>
      <c r="B17" s="12" t="s">
        <v>69</v>
      </c>
      <c r="C17" s="13" t="s">
        <v>109</v>
      </c>
      <c r="D17" s="13" t="s">
        <v>110</v>
      </c>
      <c r="E17" s="12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A17" sqref="A17"/>
    </sheetView>
  </sheetViews>
  <sheetFormatPr baseColWidth="10" defaultColWidth="8.83203125" defaultRowHeight="15" x14ac:dyDescent="0.2"/>
  <cols>
    <col min="1" max="1" width="18.5" customWidth="1"/>
    <col min="2" max="2" width="18" customWidth="1"/>
    <col min="3" max="3" width="75" customWidth="1"/>
    <col min="4" max="4" width="71" customWidth="1"/>
    <col min="5" max="5" width="20.83203125" customWidth="1"/>
  </cols>
  <sheetData>
    <row r="1" spans="1:5" s="5" customFormat="1" ht="19" customHeight="1" x14ac:dyDescent="0.25">
      <c r="A1" s="17" t="s">
        <v>53</v>
      </c>
      <c r="B1" s="18" t="s">
        <v>54</v>
      </c>
      <c r="C1" s="18" t="s">
        <v>0</v>
      </c>
      <c r="D1" s="18" t="s">
        <v>55</v>
      </c>
      <c r="E1" s="19"/>
    </row>
    <row r="2" spans="1:5" ht="96" customHeight="1" x14ac:dyDescent="0.2">
      <c r="A2" s="6" t="s">
        <v>56</v>
      </c>
      <c r="B2" s="6" t="s">
        <v>57</v>
      </c>
      <c r="C2" s="7" t="s">
        <v>112</v>
      </c>
      <c r="D2" s="7" t="s">
        <v>113</v>
      </c>
      <c r="E2" s="6" t="s">
        <v>60</v>
      </c>
    </row>
    <row r="3" spans="1:5" ht="93" customHeight="1" x14ac:dyDescent="0.2">
      <c r="A3" s="6" t="s">
        <v>56</v>
      </c>
      <c r="B3" s="6" t="s">
        <v>61</v>
      </c>
      <c r="C3" s="7" t="s">
        <v>114</v>
      </c>
      <c r="D3" s="7" t="s">
        <v>115</v>
      </c>
      <c r="E3" s="6" t="s">
        <v>64</v>
      </c>
    </row>
    <row r="4" spans="1:5" ht="92" customHeight="1" x14ac:dyDescent="0.2">
      <c r="A4" s="6" t="s">
        <v>56</v>
      </c>
      <c r="B4" s="6" t="s">
        <v>65</v>
      </c>
      <c r="C4" s="7" t="s">
        <v>116</v>
      </c>
      <c r="D4" s="7" t="s">
        <v>117</v>
      </c>
      <c r="E4" s="6" t="s">
        <v>68</v>
      </c>
    </row>
    <row r="5" spans="1:5" ht="96" customHeight="1" x14ac:dyDescent="0.2">
      <c r="A5" s="6" t="s">
        <v>56</v>
      </c>
      <c r="B5" s="6" t="s">
        <v>69</v>
      </c>
      <c r="C5" s="7" t="s">
        <v>118</v>
      </c>
      <c r="D5" s="7" t="s">
        <v>119</v>
      </c>
      <c r="E5" s="6" t="s">
        <v>72</v>
      </c>
    </row>
    <row r="6" spans="1:5" ht="96" customHeight="1" x14ac:dyDescent="0.2">
      <c r="A6" s="8" t="s">
        <v>73</v>
      </c>
      <c r="B6" s="8" t="s">
        <v>57</v>
      </c>
      <c r="C6" s="9" t="s">
        <v>120</v>
      </c>
      <c r="D6" s="9" t="s">
        <v>121</v>
      </c>
      <c r="E6" s="8" t="s">
        <v>76</v>
      </c>
    </row>
    <row r="7" spans="1:5" ht="96" customHeight="1" x14ac:dyDescent="0.2">
      <c r="A7" s="8" t="s">
        <v>73</v>
      </c>
      <c r="B7" s="8" t="s">
        <v>61</v>
      </c>
      <c r="C7" s="9" t="s">
        <v>122</v>
      </c>
      <c r="D7" s="9" t="s">
        <v>123</v>
      </c>
      <c r="E7" s="8" t="s">
        <v>79</v>
      </c>
    </row>
    <row r="8" spans="1:5" ht="97" customHeight="1" x14ac:dyDescent="0.2">
      <c r="A8" s="8" t="s">
        <v>73</v>
      </c>
      <c r="B8" s="8" t="s">
        <v>65</v>
      </c>
      <c r="C8" s="9" t="s">
        <v>124</v>
      </c>
      <c r="D8" s="9" t="s">
        <v>125</v>
      </c>
      <c r="E8" s="8" t="s">
        <v>82</v>
      </c>
    </row>
    <row r="9" spans="1:5" ht="96" customHeight="1" x14ac:dyDescent="0.2">
      <c r="A9" s="8" t="s">
        <v>73</v>
      </c>
      <c r="B9" s="8" t="s">
        <v>69</v>
      </c>
      <c r="C9" s="9" t="s">
        <v>126</v>
      </c>
      <c r="D9" s="9" t="s">
        <v>127</v>
      </c>
      <c r="E9" s="8" t="s">
        <v>85</v>
      </c>
    </row>
    <row r="10" spans="1:5" ht="80" customHeight="1" x14ac:dyDescent="0.2">
      <c r="A10" s="10" t="s">
        <v>86</v>
      </c>
      <c r="B10" s="10" t="s">
        <v>57</v>
      </c>
      <c r="C10" s="11" t="s">
        <v>128</v>
      </c>
      <c r="D10" s="11" t="s">
        <v>129</v>
      </c>
      <c r="E10" s="10" t="s">
        <v>89</v>
      </c>
    </row>
    <row r="11" spans="1:5" ht="96" customHeight="1" x14ac:dyDescent="0.2">
      <c r="A11" s="10" t="s">
        <v>86</v>
      </c>
      <c r="B11" s="10" t="s">
        <v>61</v>
      </c>
      <c r="C11" s="11" t="s">
        <v>130</v>
      </c>
      <c r="D11" s="11" t="s">
        <v>131</v>
      </c>
      <c r="E11" s="10" t="s">
        <v>92</v>
      </c>
    </row>
    <row r="12" spans="1:5" ht="80" customHeight="1" x14ac:dyDescent="0.2">
      <c r="A12" s="10" t="s">
        <v>86</v>
      </c>
      <c r="B12" s="10" t="s">
        <v>65</v>
      </c>
      <c r="C12" s="11" t="s">
        <v>132</v>
      </c>
      <c r="D12" s="11" t="s">
        <v>133</v>
      </c>
      <c r="E12" s="10" t="s">
        <v>95</v>
      </c>
    </row>
    <row r="13" spans="1:5" ht="96" customHeight="1" x14ac:dyDescent="0.2">
      <c r="A13" s="10" t="s">
        <v>86</v>
      </c>
      <c r="B13" s="10" t="s">
        <v>69</v>
      </c>
      <c r="C13" s="11" t="s">
        <v>134</v>
      </c>
      <c r="D13" s="11" t="s">
        <v>135</v>
      </c>
      <c r="E13" s="10" t="s">
        <v>98</v>
      </c>
    </row>
    <row r="14" spans="1:5" ht="80" customHeight="1" x14ac:dyDescent="0.2">
      <c r="A14" s="12" t="s">
        <v>99</v>
      </c>
      <c r="B14" s="12" t="s">
        <v>57</v>
      </c>
      <c r="C14" s="13" t="s">
        <v>136</v>
      </c>
      <c r="D14" s="13" t="s">
        <v>137</v>
      </c>
      <c r="E14" s="12" t="s">
        <v>102</v>
      </c>
    </row>
    <row r="15" spans="1:5" ht="80" customHeight="1" x14ac:dyDescent="0.2">
      <c r="A15" s="12" t="s">
        <v>99</v>
      </c>
      <c r="B15" s="12" t="s">
        <v>61</v>
      </c>
      <c r="C15" s="13" t="s">
        <v>138</v>
      </c>
      <c r="D15" s="13" t="s">
        <v>139</v>
      </c>
      <c r="E15" s="12" t="s">
        <v>105</v>
      </c>
    </row>
    <row r="16" spans="1:5" ht="84" customHeight="1" x14ac:dyDescent="0.2">
      <c r="A16" s="12" t="s">
        <v>99</v>
      </c>
      <c r="B16" s="12" t="s">
        <v>65</v>
      </c>
      <c r="C16" s="13" t="s">
        <v>140</v>
      </c>
      <c r="D16" s="13" t="s">
        <v>141</v>
      </c>
      <c r="E16" s="12" t="s">
        <v>108</v>
      </c>
    </row>
    <row r="17" spans="1:5" ht="97" customHeight="1" x14ac:dyDescent="0.2">
      <c r="A17" s="12" t="s">
        <v>99</v>
      </c>
      <c r="B17" s="12" t="s">
        <v>69</v>
      </c>
      <c r="C17" s="13" t="s">
        <v>142</v>
      </c>
      <c r="D17" s="13" t="s">
        <v>143</v>
      </c>
      <c r="E17" s="12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30.6640625" customWidth="1"/>
    <col min="2" max="2" width="12.6640625" customWidth="1"/>
    <col min="4" max="4" width="10.6640625" customWidth="1"/>
    <col min="6" max="6" width="22.6640625" customWidth="1"/>
  </cols>
  <sheetData>
    <row r="1" spans="1:7" x14ac:dyDescent="0.2">
      <c r="A1" t="s">
        <v>144</v>
      </c>
    </row>
    <row r="3" spans="1:7" x14ac:dyDescent="0.2">
      <c r="A3" t="s">
        <v>145</v>
      </c>
      <c r="B3" t="s">
        <v>146</v>
      </c>
      <c r="D3" t="s">
        <v>147</v>
      </c>
      <c r="E3" t="s">
        <v>148</v>
      </c>
    </row>
    <row r="4" spans="1:7" x14ac:dyDescent="0.2">
      <c r="A4" t="s">
        <v>149</v>
      </c>
      <c r="B4" t="str">
        <f>IFERROR(AVERAGEIF(#REF!,"STRATEGY &amp; PURPOSE",#REF!),"")</f>
        <v/>
      </c>
      <c r="C4" t="str">
        <f>IFERROR(AVERAGEIF(#REF!,"STRATEGY &amp; PURPOSE",#REF!),"")</f>
        <v/>
      </c>
      <c r="D4">
        <v>1</v>
      </c>
      <c r="E4">
        <v>3</v>
      </c>
      <c r="F4" t="str">
        <f t="shared" ref="F4:F11" si="0">IF($C4="","",$C4*$D4)</f>
        <v/>
      </c>
      <c r="G4" t="str">
        <f t="shared" ref="G4:G11" si="1">IF($C4="","",$C4-$E4)</f>
        <v/>
      </c>
    </row>
    <row r="5" spans="1:7" x14ac:dyDescent="0.2">
      <c r="A5" t="s">
        <v>150</v>
      </c>
      <c r="B5" t="str">
        <f>IFERROR(AVERAGEIF(#REF!,"GOVERNANCE &amp; AUTHORITY",#REF!),"")</f>
        <v/>
      </c>
      <c r="C5" t="str">
        <f>IFERROR(AVERAGEIF(#REF!,"GOVERNANCE &amp; AUTHORITY",#REF!),"")</f>
        <v/>
      </c>
      <c r="D5">
        <v>1</v>
      </c>
      <c r="E5">
        <v>3</v>
      </c>
      <c r="F5" t="str">
        <f t="shared" si="0"/>
        <v/>
      </c>
      <c r="G5" t="str">
        <f t="shared" si="1"/>
        <v/>
      </c>
    </row>
    <row r="6" spans="1:7" x14ac:dyDescent="0.2">
      <c r="A6" t="s">
        <v>151</v>
      </c>
      <c r="B6" t="str">
        <f>IFERROR(AVERAGEIF(#REF!,"WORKFLOW &amp; OPERATIONS",#REF!),"")</f>
        <v/>
      </c>
      <c r="C6" t="str">
        <f>IFERROR(AVERAGEIF(#REF!,"WORKFLOW &amp; OPERATIONS",#REF!),"")</f>
        <v/>
      </c>
      <c r="D6">
        <v>1</v>
      </c>
      <c r="E6">
        <v>3</v>
      </c>
      <c r="F6" t="str">
        <f t="shared" si="0"/>
        <v/>
      </c>
      <c r="G6" t="str">
        <f t="shared" si="1"/>
        <v/>
      </c>
    </row>
    <row r="7" spans="1:7" x14ac:dyDescent="0.2">
      <c r="A7" t="s">
        <v>152</v>
      </c>
      <c r="B7" t="str">
        <f>IFERROR(AVERAGEIF(#REF!,"MEETING SYSTEM",#REF!),"")</f>
        <v/>
      </c>
      <c r="C7" t="str">
        <f>IFERROR(AVERAGEIF(#REF!,"MEETING SYSTEM",#REF!),"")</f>
        <v/>
      </c>
      <c r="D7">
        <v>1</v>
      </c>
      <c r="E7">
        <v>3</v>
      </c>
      <c r="F7" t="str">
        <f t="shared" si="0"/>
        <v/>
      </c>
      <c r="G7" t="str">
        <f t="shared" si="1"/>
        <v/>
      </c>
    </row>
    <row r="8" spans="1:7" x14ac:dyDescent="0.2">
      <c r="A8" t="s">
        <v>153</v>
      </c>
      <c r="B8" t="str">
        <f>IFERROR(AVERAGEIF(#REF!,"INFORMATION FLOW",#REF!),"")</f>
        <v/>
      </c>
      <c r="C8" t="str">
        <f>IFERROR(AVERAGEIF(#REF!,"INFORMATION FLOW",#REF!),"")</f>
        <v/>
      </c>
      <c r="D8">
        <v>1</v>
      </c>
      <c r="E8">
        <v>3</v>
      </c>
      <c r="F8" t="str">
        <f t="shared" si="0"/>
        <v/>
      </c>
      <c r="G8" t="str">
        <f t="shared" si="1"/>
        <v/>
      </c>
    </row>
    <row r="9" spans="1:7" x14ac:dyDescent="0.2">
      <c r="A9" t="s">
        <v>154</v>
      </c>
      <c r="B9" t="str">
        <f>IFERROR(AVERAGEIF(#REF!,"CULTURE &amp; PEOPLE",#REF!),"")</f>
        <v/>
      </c>
      <c r="C9" t="str">
        <f>IFERROR(AVERAGEIF(#REF!,"CULTURE &amp; PEOPLE",#REF!),"")</f>
        <v/>
      </c>
      <c r="D9">
        <v>1</v>
      </c>
      <c r="E9">
        <v>3</v>
      </c>
      <c r="F9" t="str">
        <f t="shared" si="0"/>
        <v/>
      </c>
      <c r="G9" t="str">
        <f t="shared" si="1"/>
        <v/>
      </c>
    </row>
    <row r="10" spans="1:7" x14ac:dyDescent="0.2">
      <c r="A10" t="s">
        <v>155</v>
      </c>
      <c r="B10" t="str">
        <f>IFERROR(AVERAGEIF(#REF!,"INNOVATION SYSTEM",#REF!),"")</f>
        <v/>
      </c>
      <c r="C10" t="str">
        <f>IFERROR(AVERAGEIF(#REF!,"INNOVATION SYSTEM",#REF!),"")</f>
        <v/>
      </c>
      <c r="D10">
        <v>1</v>
      </c>
      <c r="E10">
        <v>3</v>
      </c>
      <c r="F10" t="str">
        <f t="shared" si="0"/>
        <v/>
      </c>
      <c r="G10" t="str">
        <f t="shared" si="1"/>
        <v/>
      </c>
    </row>
    <row r="11" spans="1:7" x14ac:dyDescent="0.2">
      <c r="A11" t="s">
        <v>156</v>
      </c>
      <c r="B11" t="str">
        <f>IFERROR(AVERAGEIF(#REF!,"MARKET",#REF!),"")</f>
        <v/>
      </c>
      <c r="C11" t="str">
        <f>IFERROR(AVERAGEIF(#REF!,"MARKET",#REF!),"")</f>
        <v/>
      </c>
      <c r="D11">
        <v>1</v>
      </c>
      <c r="E11">
        <v>3</v>
      </c>
      <c r="F11" t="str">
        <f t="shared" si="0"/>
        <v/>
      </c>
      <c r="G11" t="str">
        <f t="shared" si="1"/>
        <v/>
      </c>
    </row>
    <row r="13" spans="1:7" x14ac:dyDescent="0.2">
      <c r="D13" t="str">
        <f>IF(B13="","",CHOOSE(ROUND(B13,0),"Awakening","Improvement","Consistency","Embedding"))</f>
        <v/>
      </c>
    </row>
    <row r="14" spans="1:7" x14ac:dyDescent="0.2">
      <c r="D14" t="str">
        <f>IF(B14="","",CHOOSE(ROUND(B14,0),"Awakening","Improvement","Consistency","Embedding"))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2"/>
  <sheetViews>
    <sheetView topLeftCell="A8" workbookViewId="0">
      <selection activeCell="C12" sqref="C12"/>
    </sheetView>
  </sheetViews>
  <sheetFormatPr baseColWidth="10" defaultColWidth="8.83203125" defaultRowHeight="15" x14ac:dyDescent="0.2"/>
  <cols>
    <col min="1" max="1" width="14" customWidth="1"/>
    <col min="2" max="2" width="60" customWidth="1"/>
    <col min="3" max="3" width="14" customWidth="1"/>
    <col min="9" max="9" width="14" customWidth="1"/>
    <col min="10" max="10" width="60" customWidth="1"/>
  </cols>
  <sheetData>
    <row r="1" spans="1:20" s="4" customFormat="1" ht="21" customHeight="1" x14ac:dyDescent="0.25">
      <c r="A1" s="38" t="s">
        <v>157</v>
      </c>
      <c r="B1" s="39"/>
    </row>
    <row r="2" spans="1:20" x14ac:dyDescent="0.2">
      <c r="P2" s="2"/>
      <c r="Q2" s="2"/>
      <c r="R2" s="2"/>
      <c r="S2" s="2"/>
      <c r="T2" s="2"/>
    </row>
    <row r="3" spans="1:20" ht="16" customHeight="1" x14ac:dyDescent="0.2">
      <c r="A3" s="20" t="s">
        <v>56</v>
      </c>
      <c r="I3" s="21" t="s">
        <v>73</v>
      </c>
    </row>
    <row r="4" spans="1:20" x14ac:dyDescent="0.2">
      <c r="A4" t="s">
        <v>158</v>
      </c>
      <c r="B4" s="24" t="str">
        <f>Macro_Aree!B2</f>
        <v/>
      </c>
      <c r="I4" t="s">
        <v>158</v>
      </c>
      <c r="J4" t="str">
        <f>Macro_Aree!B3</f>
        <v/>
      </c>
    </row>
    <row r="5" spans="1:20" x14ac:dyDescent="0.2">
      <c r="A5" t="s">
        <v>159</v>
      </c>
      <c r="B5" s="24" t="str">
        <f>Macro_Aree!C2</f>
        <v/>
      </c>
      <c r="I5" t="s">
        <v>159</v>
      </c>
      <c r="J5" t="str">
        <f>Macro_Aree!C3</f>
        <v/>
      </c>
    </row>
    <row r="6" spans="1:20" ht="16" customHeight="1" x14ac:dyDescent="0.2">
      <c r="A6" t="s">
        <v>160</v>
      </c>
      <c r="B6" s="25" t="str">
        <f>Macro_Aree!E2</f>
        <v/>
      </c>
      <c r="I6" t="s">
        <v>160</v>
      </c>
      <c r="J6" s="1" t="str">
        <f>Macro_Aree!E3</f>
        <v/>
      </c>
    </row>
    <row r="7" spans="1:20" x14ac:dyDescent="0.2">
      <c r="B7" s="3" t="str">
        <f>IF(Macro_Aree!D2="","",HYPERLINK("#'Livelli_Maturità_Extended'!A"&amp;MATCH(Macro_Aree!D2,[2]Livelli_Maturità_Extended!E:E,0),"Apri roadmap →"))</f>
        <v/>
      </c>
      <c r="J7" s="3" t="str">
        <f>IF(Macro_Aree!D3="","",HYPERLINK("#'Livelli_Maturità_Extended'!A"&amp;MATCH(Macro_Aree!D3,[2]Livelli_Maturità_Extended!E:E,0),"Apri roadmap →"))</f>
        <v/>
      </c>
    </row>
    <row r="18" spans="1:10" ht="16" customHeight="1" x14ac:dyDescent="0.2">
      <c r="A18" s="22" t="s">
        <v>86</v>
      </c>
      <c r="I18" s="23" t="s">
        <v>99</v>
      </c>
    </row>
    <row r="19" spans="1:10" x14ac:dyDescent="0.2">
      <c r="A19" t="s">
        <v>158</v>
      </c>
      <c r="B19" t="str">
        <f>Macro_Aree!B4</f>
        <v/>
      </c>
      <c r="I19" t="s">
        <v>158</v>
      </c>
      <c r="J19" t="str">
        <f>Macro_Aree!B5</f>
        <v/>
      </c>
    </row>
    <row r="20" spans="1:10" x14ac:dyDescent="0.2">
      <c r="A20" t="s">
        <v>159</v>
      </c>
      <c r="B20" t="str">
        <f>Macro_Aree!C4</f>
        <v/>
      </c>
      <c r="I20" t="s">
        <v>159</v>
      </c>
      <c r="J20" t="str">
        <f>Macro_Aree!C5</f>
        <v/>
      </c>
    </row>
    <row r="21" spans="1:10" ht="16" customHeight="1" x14ac:dyDescent="0.2">
      <c r="A21" t="s">
        <v>160</v>
      </c>
      <c r="B21" s="1" t="str">
        <f>Macro_Aree!E4</f>
        <v/>
      </c>
      <c r="I21" t="s">
        <v>160</v>
      </c>
      <c r="J21" s="1" t="str">
        <f>Macro_Aree!E5</f>
        <v/>
      </c>
    </row>
    <row r="22" spans="1:10" x14ac:dyDescent="0.2">
      <c r="B22" s="3" t="str">
        <f>IF(Macro_Aree!D4="","",HYPERLINK("#'Livelli_Maturità_Extended'!A"&amp;MATCH(Macro_Aree!D4,[2]Livelli_Maturità_Extended!E:E,0),"Apri roadmap →"))</f>
        <v/>
      </c>
      <c r="J22" s="3" t="str">
        <f>IF(Macro_Aree!D5="","",HYPERLINK("#'Livelli_Maturità_Extended'!A"&amp;MATCH(Macro_Aree!D5,[2]Livelli_Maturità_Extended!E:E,0),"Apri roadmap →"))</f>
        <v/>
      </c>
    </row>
  </sheetData>
  <mergeCells count="1">
    <mergeCell ref="A1:B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selection activeCell="E16" sqref="E16"/>
    </sheetView>
  </sheetViews>
  <sheetFormatPr baseColWidth="10" defaultColWidth="8.83203125" defaultRowHeight="15" x14ac:dyDescent="0.2"/>
  <cols>
    <col min="2" max="2" width="17" customWidth="1"/>
    <col min="4" max="4" width="14.83203125" customWidth="1"/>
    <col min="5" max="5" width="82.33203125" customWidth="1"/>
  </cols>
  <sheetData>
    <row r="1" spans="1:5" s="5" customFormat="1" ht="20" customHeight="1" thickBot="1" x14ac:dyDescent="0.3">
      <c r="A1" s="14" t="s">
        <v>161</v>
      </c>
      <c r="B1" s="15" t="s">
        <v>162</v>
      </c>
      <c r="C1" s="15" t="s">
        <v>54</v>
      </c>
      <c r="D1" s="15" t="s">
        <v>55</v>
      </c>
      <c r="E1" s="16" t="s">
        <v>163</v>
      </c>
    </row>
    <row r="2" spans="1:5" s="26" customFormat="1" ht="16" customHeight="1" x14ac:dyDescent="0.2">
      <c r="A2" s="28" t="s">
        <v>56</v>
      </c>
      <c r="B2" s="28" t="str">
        <f>IFERROR((SUMIF(#REF!,"STRATEGY &amp; PURPOSE",#REF!)+SUMIF(#REF!,"GOVERNANCE &amp; AUTHORITY",#REF!))/(COUNTIF(#REF!,"STRATEGY &amp; PURPOSE")+COUNTIF(#REF!,"GOVERNANCE &amp; AUTHORITY")),"")</f>
        <v/>
      </c>
      <c r="C2" s="28" t="str">
        <f>IF(B2="","",CHOOSE(ROUND(B2,0),"Awakening","Improvement","Consistency","Embedding"))</f>
        <v/>
      </c>
      <c r="D2" s="28" t="str">
        <f>IF(B2="","",A2&amp;"|"&amp;ROUND(B2,0))</f>
        <v/>
      </c>
      <c r="E2" s="29" t="str">
        <f>IF(D2="","",INDEX(#REF!,MATCH(D2,#REF!,0)))</f>
        <v/>
      </c>
    </row>
    <row r="3" spans="1:5" s="26" customFormat="1" x14ac:dyDescent="0.2">
      <c r="A3" s="27" t="s">
        <v>73</v>
      </c>
      <c r="B3" s="27" t="str">
        <f>IFERROR((SUMIF(#REF!,"WORKFLOW &amp; OPERATIONS",#REF!)+SUMIF(#REF!,"INFORMATION FLOW",#REF!)+SUMIF(#REF!,"INNOVATION SYSTEM",#REF!))/(COUNTIF(#REF!,"WORKFLOW &amp; OPERATIONS")+COUNTIF(#REF!,"INFORMATION FLOW")+COUNTIF(#REF!,"INNOVATION SYSTEM")),"")</f>
        <v/>
      </c>
      <c r="C3" s="27" t="str">
        <f>IF(B3="","",CHOOSE(ROUND(B3,0),"Awakening","Improvement","Consistency","Embedding"))</f>
        <v/>
      </c>
      <c r="D3" s="27" t="str">
        <f>IF(B3="","",A3&amp;"|"&amp;ROUND(B3,0))</f>
        <v/>
      </c>
      <c r="E3" s="27" t="str">
        <f>IF(D3="","",INDEX(#REF!,MATCH(D3,#REF!,0)))</f>
        <v/>
      </c>
    </row>
    <row r="4" spans="1:5" s="26" customFormat="1" x14ac:dyDescent="0.2">
      <c r="A4" s="27" t="s">
        <v>86</v>
      </c>
      <c r="B4" s="27" t="str">
        <f>IFERROR((SUMIF(#REF!,"MEETING SYSTEM",#REF!)+SUMIF(#REF!,"CULTURE &amp; PEOPLE",#REF!))/(COUNTIF(#REF!,"MEETING SYSTEM")+COUNTIF(#REF!,"CULTURE &amp; PEOPLE")),"")</f>
        <v/>
      </c>
      <c r="C4" s="27" t="str">
        <f>IF(B4="","",CHOOSE(ROUND(B4,0),"Awakening","Improvement","Consistency","Embedding"))</f>
        <v/>
      </c>
      <c r="D4" s="27" t="str">
        <f>IF(B4="","",A4&amp;"|"&amp;ROUND(B4,0))</f>
        <v/>
      </c>
      <c r="E4" s="27" t="str">
        <f>IF(D4="","",INDEX(#REF!,MATCH(D4,#REF!,0)))</f>
        <v/>
      </c>
    </row>
    <row r="5" spans="1:5" s="26" customFormat="1" x14ac:dyDescent="0.2">
      <c r="A5" s="27" t="s">
        <v>99</v>
      </c>
      <c r="B5" s="27" t="str">
        <f>IFERROR(SUMIF(#REF!,"MARKET",#REF!)/COUNTIF(#REF!,"MARKET"),"")</f>
        <v/>
      </c>
      <c r="C5" s="27" t="str">
        <f>IF(B5="","",CHOOSE(ROUND(B5,0),"Awakening","Improvement","Consistency","Embedding"))</f>
        <v/>
      </c>
      <c r="D5" s="27" t="str">
        <f>IF(B5="","",A5&amp;"|"&amp;ROUND(B5,0))</f>
        <v/>
      </c>
      <c r="E5" s="27" t="str">
        <f>IF(D5="","",INDEX(#REF!,MATCH(D5,#REF!,0)))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E16" sqref="E16"/>
    </sheetView>
  </sheetViews>
  <sheetFormatPr baseColWidth="10" defaultColWidth="8.83203125" defaultRowHeight="15" x14ac:dyDescent="0.2"/>
  <sheetData>
    <row r="1" spans="1:3" x14ac:dyDescent="0.2">
      <c r="A1" s="2" t="s">
        <v>161</v>
      </c>
      <c r="B1" s="2" t="s">
        <v>146</v>
      </c>
      <c r="C1" s="2" t="s">
        <v>148</v>
      </c>
    </row>
    <row r="2" spans="1:3" x14ac:dyDescent="0.2">
      <c r="A2" t="s">
        <v>56</v>
      </c>
      <c r="B2" t="str">
        <f>Macro_Aree!B2</f>
        <v/>
      </c>
      <c r="C2">
        <v>3</v>
      </c>
    </row>
    <row r="3" spans="1:3" x14ac:dyDescent="0.2">
      <c r="A3" t="s">
        <v>73</v>
      </c>
      <c r="B3" t="str">
        <f>Macro_Aree!B3</f>
        <v/>
      </c>
      <c r="C3">
        <v>3</v>
      </c>
    </row>
    <row r="4" spans="1:3" x14ac:dyDescent="0.2">
      <c r="A4" t="s">
        <v>86</v>
      </c>
      <c r="B4" t="str">
        <f>Macro_Aree!B4</f>
        <v/>
      </c>
      <c r="C4">
        <v>3</v>
      </c>
    </row>
    <row r="5" spans="1:3" x14ac:dyDescent="0.2">
      <c r="A5" t="s">
        <v>99</v>
      </c>
      <c r="B5" t="str">
        <f>Macro_Aree!B5</f>
        <v/>
      </c>
      <c r="C5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78" customWidth="1"/>
  </cols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Commenti coding</vt:lpstr>
      <vt:lpstr>Note_1</vt:lpstr>
      <vt:lpstr>Livelli_Maturità_Extended Light</vt:lpstr>
      <vt:lpstr>Livelli_Maturità_Extended Deep</vt:lpstr>
      <vt:lpstr>Scoring</vt:lpstr>
      <vt:lpstr>Dashboard_4Aree</vt:lpstr>
      <vt:lpstr>Macro_Aree</vt:lpstr>
      <vt:lpstr>Chart_Data</vt:lpstr>
      <vt:lpstr>Appunti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giorgia.moschini8812@outlook.it</cp:lastModifiedBy>
  <dcterms:created xsi:type="dcterms:W3CDTF">2025-11-12T17:21:23Z</dcterms:created>
  <dcterms:modified xsi:type="dcterms:W3CDTF">2026-09-17T09:23:05Z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0x0101003CFCB8B268D7F34ABDE1B58A393A4C68</vt:lpwstr>
  </property>
  <property fmtid="{D5CDD505-2E9C-101B-9397-08002B2CF9AE}" pid="3" name="MediaServiceImageTags">
    <vt:lpwstr/>
  </property>
</Properties>
</file>