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nie\Desktop\Matrice\"/>
    </mc:Choice>
  </mc:AlternateContent>
  <xr:revisionPtr revIDLastSave="0" documentId="13_ncr:1_{0581A3D4-31BF-4CDF-B6F8-3B5CB2F199C0}" xr6:coauthVersionLast="47" xr6:coauthVersionMax="47" xr10:uidLastSave="{00000000-0000-0000-0000-000000000000}"/>
  <bookViews>
    <workbookView xWindow="-103" yWindow="-103" windowWidth="24892" windowHeight="14914" activeTab="1" xr2:uid="{00000000-000D-0000-FFFF-FFFF00000000}"/>
  </bookViews>
  <sheets>
    <sheet name="Input survey A" sheetId="1" r:id="rId1"/>
    <sheet name="Input esterno GIorgia-per axY " sheetId="2" r:id="rId2"/>
    <sheet name="Mappatura A-B-C" sheetId="3" r:id="rId3"/>
    <sheet name="Calcoli matrice C" sheetId="4" r:id="rId4"/>
    <sheet name="Matrice trasparenza" sheetId="5" r:id="rId5"/>
    <sheet name="Note e assunzioni" sheetId="7" r:id="rId6"/>
  </sheets>
  <definedNames>
    <definedName name="_xlnm._FilterDatabase" localSheetId="2" hidden="1">'Mappatura A-B-C'!$A$4:$W$59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5" l="1"/>
  <c r="A24" i="5"/>
  <c r="A23" i="5"/>
  <c r="A22" i="5"/>
  <c r="A21" i="5"/>
  <c r="A20" i="5"/>
  <c r="A19" i="5"/>
  <c r="A18" i="5"/>
  <c r="A17" i="5"/>
  <c r="A16" i="5"/>
  <c r="B5" i="5"/>
  <c r="E18" i="4"/>
  <c r="I18" i="4" s="1"/>
  <c r="E17" i="4"/>
  <c r="I17" i="4" s="1"/>
  <c r="E16" i="4"/>
  <c r="I16" i="4" s="1"/>
  <c r="E15" i="4"/>
  <c r="F15" i="4" s="1"/>
  <c r="E14" i="4"/>
  <c r="C21" i="5" s="1"/>
  <c r="E13" i="4"/>
  <c r="F13" i="4" s="1"/>
  <c r="E12" i="4"/>
  <c r="I12" i="4" s="1"/>
  <c r="E11" i="4"/>
  <c r="C18" i="5" s="1"/>
  <c r="E10" i="4"/>
  <c r="I10" i="4" s="1"/>
  <c r="E9" i="4"/>
  <c r="O59" i="3"/>
  <c r="R59" i="3" s="1"/>
  <c r="K59" i="3"/>
  <c r="I59" i="3"/>
  <c r="O58" i="3"/>
  <c r="R58" i="3" s="1"/>
  <c r="K58" i="3"/>
  <c r="I58" i="3"/>
  <c r="O57" i="3"/>
  <c r="Q57" i="3" s="1"/>
  <c r="K57" i="3"/>
  <c r="I57" i="3"/>
  <c r="O56" i="3"/>
  <c r="R56" i="3" s="1"/>
  <c r="K56" i="3"/>
  <c r="I56" i="3"/>
  <c r="O55" i="3"/>
  <c r="R55" i="3" s="1"/>
  <c r="K55" i="3"/>
  <c r="I55" i="3"/>
  <c r="O54" i="3"/>
  <c r="R54" i="3" s="1"/>
  <c r="K54" i="3"/>
  <c r="I54" i="3"/>
  <c r="O53" i="3"/>
  <c r="R53" i="3" s="1"/>
  <c r="K53" i="3"/>
  <c r="I53" i="3"/>
  <c r="O52" i="3"/>
  <c r="Q52" i="3" s="1"/>
  <c r="K52" i="3"/>
  <c r="I52" i="3"/>
  <c r="O51" i="3"/>
  <c r="R51" i="3" s="1"/>
  <c r="K51" i="3"/>
  <c r="I51" i="3"/>
  <c r="O50" i="3"/>
  <c r="Q50" i="3" s="1"/>
  <c r="L50" i="3" s="1"/>
  <c r="K50" i="3"/>
  <c r="I50" i="3"/>
  <c r="R49" i="3"/>
  <c r="Q49" i="3"/>
  <c r="S49" i="3" s="1"/>
  <c r="O49" i="3"/>
  <c r="K49" i="3"/>
  <c r="I49" i="3"/>
  <c r="O48" i="3"/>
  <c r="R48" i="3" s="1"/>
  <c r="K48" i="3"/>
  <c r="I48" i="3"/>
  <c r="O47" i="3"/>
  <c r="R47" i="3" s="1"/>
  <c r="K47" i="3"/>
  <c r="I47" i="3"/>
  <c r="O46" i="3"/>
  <c r="R46" i="3" s="1"/>
  <c r="K46" i="3"/>
  <c r="I46" i="3"/>
  <c r="O45" i="3"/>
  <c r="R45" i="3" s="1"/>
  <c r="K45" i="3"/>
  <c r="I45" i="3"/>
  <c r="O44" i="3"/>
  <c r="R44" i="3" s="1"/>
  <c r="K44" i="3"/>
  <c r="I44" i="3"/>
  <c r="O43" i="3"/>
  <c r="K43" i="3"/>
  <c r="I43" i="3"/>
  <c r="O42" i="3"/>
  <c r="R42" i="3" s="1"/>
  <c r="K42" i="3"/>
  <c r="I42" i="3"/>
  <c r="O41" i="3"/>
  <c r="Q41" i="3" s="1"/>
  <c r="K41" i="3"/>
  <c r="I41" i="3"/>
  <c r="O40" i="3"/>
  <c r="R40" i="3" s="1"/>
  <c r="K40" i="3"/>
  <c r="I40" i="3"/>
  <c r="O39" i="3"/>
  <c r="R39" i="3" s="1"/>
  <c r="K39" i="3"/>
  <c r="I39" i="3"/>
  <c r="O38" i="3"/>
  <c r="R38" i="3" s="1"/>
  <c r="K38" i="3"/>
  <c r="I38" i="3"/>
  <c r="O37" i="3"/>
  <c r="R37" i="3" s="1"/>
  <c r="K37" i="3"/>
  <c r="I37" i="3"/>
  <c r="O36" i="3"/>
  <c r="Q36" i="3" s="1"/>
  <c r="K36" i="3"/>
  <c r="I36" i="3"/>
  <c r="O35" i="3"/>
  <c r="K35" i="3"/>
  <c r="I35" i="3"/>
  <c r="O34" i="3"/>
  <c r="R34" i="3" s="1"/>
  <c r="K34" i="3"/>
  <c r="I34" i="3"/>
  <c r="O33" i="3"/>
  <c r="Q33" i="3" s="1"/>
  <c r="K33" i="3"/>
  <c r="I33" i="3"/>
  <c r="O32" i="3"/>
  <c r="R32" i="3" s="1"/>
  <c r="K32" i="3"/>
  <c r="I32" i="3"/>
  <c r="O31" i="3"/>
  <c r="K31" i="3"/>
  <c r="I31" i="3"/>
  <c r="R30" i="3"/>
  <c r="Q30" i="3"/>
  <c r="T30" i="3" s="1"/>
  <c r="O30" i="3"/>
  <c r="K30" i="3"/>
  <c r="I30" i="3"/>
  <c r="O29" i="3"/>
  <c r="Q29" i="3" s="1"/>
  <c r="L29" i="3" s="1"/>
  <c r="K29" i="3"/>
  <c r="I29" i="3"/>
  <c r="O28" i="3"/>
  <c r="Q28" i="3" s="1"/>
  <c r="K28" i="3"/>
  <c r="I28" i="3"/>
  <c r="O27" i="3"/>
  <c r="K27" i="3"/>
  <c r="I27" i="3"/>
  <c r="O26" i="3"/>
  <c r="R26" i="3" s="1"/>
  <c r="K26" i="3"/>
  <c r="I26" i="3"/>
  <c r="O25" i="3"/>
  <c r="Q25" i="3" s="1"/>
  <c r="K25" i="3"/>
  <c r="I25" i="3"/>
  <c r="O24" i="3"/>
  <c r="R24" i="3" s="1"/>
  <c r="K24" i="3"/>
  <c r="I24" i="3"/>
  <c r="O23" i="3"/>
  <c r="K23" i="3"/>
  <c r="I23" i="3"/>
  <c r="O22" i="3"/>
  <c r="R22" i="3" s="1"/>
  <c r="K22" i="3"/>
  <c r="I22" i="3"/>
  <c r="O21" i="3"/>
  <c r="R21" i="3" s="1"/>
  <c r="K21" i="3"/>
  <c r="I21" i="3"/>
  <c r="O20" i="3"/>
  <c r="R20" i="3" s="1"/>
  <c r="K20" i="3"/>
  <c r="I20" i="3"/>
  <c r="O19" i="3"/>
  <c r="K19" i="3"/>
  <c r="I19" i="3"/>
  <c r="O18" i="3"/>
  <c r="Q18" i="3" s="1"/>
  <c r="K18" i="3"/>
  <c r="I18" i="3"/>
  <c r="O17" i="3"/>
  <c r="Q17" i="3" s="1"/>
  <c r="K17" i="3"/>
  <c r="I17" i="3"/>
  <c r="O16" i="3"/>
  <c r="R16" i="3" s="1"/>
  <c r="K16" i="3"/>
  <c r="I16" i="3"/>
  <c r="O15" i="3"/>
  <c r="K15" i="3"/>
  <c r="I15" i="3"/>
  <c r="O14" i="3"/>
  <c r="R14" i="3" s="1"/>
  <c r="K14" i="3"/>
  <c r="I14" i="3"/>
  <c r="O13" i="3"/>
  <c r="R13" i="3" s="1"/>
  <c r="K13" i="3"/>
  <c r="I13" i="3"/>
  <c r="O12" i="3"/>
  <c r="Q12" i="3" s="1"/>
  <c r="J12" i="3" s="1"/>
  <c r="K12" i="3"/>
  <c r="I12" i="3"/>
  <c r="O11" i="3"/>
  <c r="K11" i="3"/>
  <c r="I11" i="3"/>
  <c r="O10" i="3"/>
  <c r="Q10" i="3" s="1"/>
  <c r="L10" i="3" s="1"/>
  <c r="K10" i="3"/>
  <c r="I10" i="3"/>
  <c r="R9" i="3"/>
  <c r="Q9" i="3"/>
  <c r="U9" i="3" s="1"/>
  <c r="O9" i="3"/>
  <c r="K9" i="3"/>
  <c r="I9" i="3"/>
  <c r="O8" i="3"/>
  <c r="R8" i="3" s="1"/>
  <c r="K8" i="3"/>
  <c r="I8" i="3"/>
  <c r="O7" i="3"/>
  <c r="K7" i="3"/>
  <c r="I7" i="3"/>
  <c r="O6" i="3"/>
  <c r="R6" i="3" s="1"/>
  <c r="K6" i="3"/>
  <c r="I6" i="3"/>
  <c r="R5" i="3"/>
  <c r="Q5" i="3"/>
  <c r="V5" i="3" s="1"/>
  <c r="O5" i="3"/>
  <c r="K5" i="3"/>
  <c r="I5" i="3"/>
  <c r="J49" i="3" l="1"/>
  <c r="L9" i="3"/>
  <c r="T9" i="3"/>
  <c r="S9" i="3"/>
  <c r="V9" i="3"/>
  <c r="J9" i="3"/>
  <c r="R29" i="3"/>
  <c r="Q45" i="3"/>
  <c r="L45" i="3" s="1"/>
  <c r="V45" i="3" s="1"/>
  <c r="R17" i="3"/>
  <c r="Q37" i="3"/>
  <c r="L37" i="3" s="1"/>
  <c r="V37" i="3" s="1"/>
  <c r="V49" i="3"/>
  <c r="Q8" i="3"/>
  <c r="J8" i="3" s="1"/>
  <c r="T8" i="3" s="1"/>
  <c r="L49" i="3"/>
  <c r="Q21" i="3"/>
  <c r="L21" i="3" s="1"/>
  <c r="V21" i="3" s="1"/>
  <c r="Q42" i="3"/>
  <c r="L42" i="3" s="1"/>
  <c r="R12" i="3"/>
  <c r="Q14" i="3"/>
  <c r="Q46" i="3"/>
  <c r="Q48" i="3"/>
  <c r="L48" i="3" s="1"/>
  <c r="T49" i="3"/>
  <c r="R50" i="3"/>
  <c r="R52" i="3"/>
  <c r="R57" i="3"/>
  <c r="Q24" i="3"/>
  <c r="J24" i="3" s="1"/>
  <c r="R33" i="3"/>
  <c r="U49" i="3"/>
  <c r="L18" i="3"/>
  <c r="V18" i="3" s="1"/>
  <c r="Q26" i="3"/>
  <c r="L26" i="3" s="1"/>
  <c r="Q44" i="3"/>
  <c r="J44" i="3" s="1"/>
  <c r="V30" i="3"/>
  <c r="Q54" i="3"/>
  <c r="Q56" i="3"/>
  <c r="L56" i="3" s="1"/>
  <c r="R18" i="3"/>
  <c r="Q20" i="3"/>
  <c r="J20" i="3" s="1"/>
  <c r="Q34" i="3"/>
  <c r="L34" i="3" s="1"/>
  <c r="R41" i="3"/>
  <c r="J52" i="3"/>
  <c r="T52" i="3" s="1"/>
  <c r="Q53" i="3"/>
  <c r="L53" i="3" s="1"/>
  <c r="V53" i="3" s="1"/>
  <c r="Q58" i="3"/>
  <c r="J58" i="3" s="1"/>
  <c r="S58" i="3" s="1"/>
  <c r="Q6" i="3"/>
  <c r="R10" i="3"/>
  <c r="R25" i="3"/>
  <c r="L30" i="3"/>
  <c r="R36" i="3"/>
  <c r="Q13" i="3"/>
  <c r="L13" i="3" s="1"/>
  <c r="V13" i="3" s="1"/>
  <c r="Q16" i="3"/>
  <c r="J16" i="3" s="1"/>
  <c r="R28" i="3"/>
  <c r="Q32" i="3"/>
  <c r="J32" i="3" s="1"/>
  <c r="V50" i="3"/>
  <c r="Q22" i="3"/>
  <c r="Q38" i="3"/>
  <c r="Q40" i="3"/>
  <c r="L40" i="3" s="1"/>
  <c r="V40" i="3" s="1"/>
  <c r="V29" i="3"/>
  <c r="S30" i="3"/>
  <c r="U30" i="3"/>
  <c r="J30" i="3"/>
  <c r="J33" i="3"/>
  <c r="T33" i="3" s="1"/>
  <c r="L33" i="3"/>
  <c r="U33" i="3" s="1"/>
  <c r="J17" i="3"/>
  <c r="T17" i="3" s="1"/>
  <c r="L17" i="3"/>
  <c r="U17" i="3" s="1"/>
  <c r="L28" i="3"/>
  <c r="U28" i="3" s="1"/>
  <c r="J57" i="3"/>
  <c r="T57" i="3" s="1"/>
  <c r="L57" i="3"/>
  <c r="U57" i="3" s="1"/>
  <c r="R27" i="3"/>
  <c r="Q27" i="3"/>
  <c r="J41" i="3"/>
  <c r="T41" i="3" s="1"/>
  <c r="L41" i="3"/>
  <c r="U41" i="3" s="1"/>
  <c r="T12" i="3"/>
  <c r="S12" i="3"/>
  <c r="L12" i="3"/>
  <c r="U12" i="3" s="1"/>
  <c r="R19" i="3"/>
  <c r="Q19" i="3"/>
  <c r="R23" i="3"/>
  <c r="Q23" i="3"/>
  <c r="V10" i="3"/>
  <c r="U10" i="3"/>
  <c r="J10" i="3"/>
  <c r="T10" i="3" s="1"/>
  <c r="R35" i="3"/>
  <c r="Q35" i="3"/>
  <c r="J28" i="3"/>
  <c r="T28" i="3" s="1"/>
  <c r="R31" i="3"/>
  <c r="Q31" i="3"/>
  <c r="L36" i="3"/>
  <c r="U36" i="3" s="1"/>
  <c r="R7" i="3"/>
  <c r="Q7" i="3"/>
  <c r="R11" i="3"/>
  <c r="Q11" i="3"/>
  <c r="R15" i="3"/>
  <c r="Q15" i="3"/>
  <c r="J25" i="3"/>
  <c r="T25" i="3" s="1"/>
  <c r="L25" i="3"/>
  <c r="V25" i="3" s="1"/>
  <c r="J36" i="3"/>
  <c r="S36" i="3" s="1"/>
  <c r="R43" i="3"/>
  <c r="Q43" i="3"/>
  <c r="I11" i="4"/>
  <c r="C23" i="5"/>
  <c r="S5" i="3"/>
  <c r="Q51" i="3"/>
  <c r="Q59" i="3"/>
  <c r="F10" i="4"/>
  <c r="F12" i="4"/>
  <c r="F14" i="4"/>
  <c r="F16" i="4"/>
  <c r="F18" i="4"/>
  <c r="C20" i="5"/>
  <c r="I15" i="4"/>
  <c r="T5" i="3"/>
  <c r="J18" i="3"/>
  <c r="S18" i="3" s="1"/>
  <c r="J50" i="3"/>
  <c r="S50" i="3" s="1"/>
  <c r="U50" i="3"/>
  <c r="L52" i="3"/>
  <c r="U52" i="3" s="1"/>
  <c r="C17" i="5"/>
  <c r="C25" i="5"/>
  <c r="I9" i="4"/>
  <c r="I13" i="4"/>
  <c r="J5" i="3"/>
  <c r="U5" i="3"/>
  <c r="J29" i="3"/>
  <c r="T29" i="3" s="1"/>
  <c r="U29" i="3"/>
  <c r="C22" i="5"/>
  <c r="C19" i="5"/>
  <c r="Q39" i="3"/>
  <c r="Q47" i="3"/>
  <c r="Q55" i="3"/>
  <c r="F9" i="4"/>
  <c r="F11" i="4"/>
  <c r="F17" i="4"/>
  <c r="C16" i="5"/>
  <c r="C24" i="5"/>
  <c r="I14" i="4"/>
  <c r="L5" i="3"/>
  <c r="U18" i="3" l="1"/>
  <c r="U48" i="3"/>
  <c r="U56" i="3"/>
  <c r="U21" i="3"/>
  <c r="J21" i="3"/>
  <c r="S21" i="3" s="1"/>
  <c r="L8" i="3"/>
  <c r="U8" i="3" s="1"/>
  <c r="J45" i="3"/>
  <c r="T45" i="3" s="1"/>
  <c r="J42" i="3"/>
  <c r="S42" i="3" s="1"/>
  <c r="J53" i="3"/>
  <c r="S53" i="3" s="1"/>
  <c r="V48" i="3"/>
  <c r="U45" i="3"/>
  <c r="U42" i="3"/>
  <c r="J37" i="3"/>
  <c r="S37" i="3" s="1"/>
  <c r="T20" i="3"/>
  <c r="J48" i="3"/>
  <c r="S48" i="3" s="1"/>
  <c r="L20" i="3"/>
  <c r="U20" i="3" s="1"/>
  <c r="V34" i="3"/>
  <c r="S20" i="3"/>
  <c r="J56" i="3"/>
  <c r="T56" i="3" s="1"/>
  <c r="U37" i="3"/>
  <c r="V17" i="3"/>
  <c r="S32" i="3"/>
  <c r="T32" i="3"/>
  <c r="J26" i="3"/>
  <c r="S26" i="3" s="1"/>
  <c r="V33" i="3"/>
  <c r="L32" i="3"/>
  <c r="U32" i="3" s="1"/>
  <c r="U53" i="3"/>
  <c r="S10" i="3"/>
  <c r="L46" i="3"/>
  <c r="J46" i="3"/>
  <c r="S46" i="3" s="1"/>
  <c r="J14" i="3"/>
  <c r="T14" i="3" s="1"/>
  <c r="L14" i="3"/>
  <c r="V14" i="3" s="1"/>
  <c r="U13" i="3"/>
  <c r="S24" i="3"/>
  <c r="S16" i="3"/>
  <c r="V28" i="3"/>
  <c r="T24" i="3"/>
  <c r="L16" i="3"/>
  <c r="U16" i="3" s="1"/>
  <c r="V56" i="3"/>
  <c r="L24" i="3"/>
  <c r="U24" i="3" s="1"/>
  <c r="T44" i="3"/>
  <c r="V42" i="3"/>
  <c r="L44" i="3"/>
  <c r="U44" i="3" s="1"/>
  <c r="V36" i="3"/>
  <c r="U26" i="3"/>
  <c r="U25" i="3"/>
  <c r="V26" i="3"/>
  <c r="V12" i="3"/>
  <c r="S57" i="3"/>
  <c r="L58" i="3"/>
  <c r="U58" i="3" s="1"/>
  <c r="L54" i="3"/>
  <c r="J54" i="3"/>
  <c r="T54" i="3" s="1"/>
  <c r="S29" i="3"/>
  <c r="S33" i="3"/>
  <c r="J38" i="3"/>
  <c r="S38" i="3" s="1"/>
  <c r="L38" i="3"/>
  <c r="V38" i="3" s="1"/>
  <c r="L22" i="3"/>
  <c r="J22" i="3"/>
  <c r="T22" i="3" s="1"/>
  <c r="S52" i="3"/>
  <c r="J13" i="3"/>
  <c r="S13" i="3" s="1"/>
  <c r="U34" i="3"/>
  <c r="S25" i="3"/>
  <c r="V41" i="3"/>
  <c r="T16" i="3"/>
  <c r="S41" i="3"/>
  <c r="S44" i="3"/>
  <c r="J34" i="3"/>
  <c r="S34" i="3" s="1"/>
  <c r="S17" i="3"/>
  <c r="J40" i="3"/>
  <c r="T40" i="3" s="1"/>
  <c r="L6" i="3"/>
  <c r="J6" i="3"/>
  <c r="S6" i="3" s="1"/>
  <c r="T36" i="3"/>
  <c r="L31" i="3"/>
  <c r="V31" i="3" s="1"/>
  <c r="J31" i="3"/>
  <c r="S31" i="3" s="1"/>
  <c r="L19" i="3"/>
  <c r="U19" i="3" s="1"/>
  <c r="J19" i="3"/>
  <c r="S19" i="3" s="1"/>
  <c r="V52" i="3"/>
  <c r="L55" i="3"/>
  <c r="V55" i="3" s="1"/>
  <c r="J55" i="3"/>
  <c r="S55" i="3" s="1"/>
  <c r="L51" i="3"/>
  <c r="V51" i="3" s="1"/>
  <c r="J51" i="3"/>
  <c r="T51" i="3" s="1"/>
  <c r="M17" i="4" s="1"/>
  <c r="L11" i="3"/>
  <c r="V11" i="3" s="1"/>
  <c r="J11" i="3"/>
  <c r="S11" i="3" s="1"/>
  <c r="S28" i="3"/>
  <c r="T50" i="3"/>
  <c r="V57" i="3"/>
  <c r="L47" i="3"/>
  <c r="U47" i="3" s="1"/>
  <c r="J47" i="3"/>
  <c r="S47" i="3" s="1"/>
  <c r="T18" i="3"/>
  <c r="L43" i="3"/>
  <c r="V43" i="3" s="1"/>
  <c r="J43" i="3"/>
  <c r="S43" i="3" s="1"/>
  <c r="L39" i="3"/>
  <c r="V39" i="3" s="1"/>
  <c r="J39" i="3"/>
  <c r="S39" i="3" s="1"/>
  <c r="L23" i="3"/>
  <c r="U23" i="3" s="1"/>
  <c r="J23" i="3"/>
  <c r="S23" i="3" s="1"/>
  <c r="L59" i="3"/>
  <c r="U59" i="3" s="1"/>
  <c r="J59" i="3"/>
  <c r="S59" i="3" s="1"/>
  <c r="L7" i="3"/>
  <c r="U7" i="3" s="1"/>
  <c r="J7" i="3"/>
  <c r="S7" i="3" s="1"/>
  <c r="S8" i="3"/>
  <c r="U40" i="3"/>
  <c r="T58" i="3"/>
  <c r="L15" i="3"/>
  <c r="U15" i="3" s="1"/>
  <c r="J15" i="3"/>
  <c r="T15" i="3" s="1"/>
  <c r="L35" i="3"/>
  <c r="U35" i="3" s="1"/>
  <c r="J35" i="3"/>
  <c r="T35" i="3" s="1"/>
  <c r="L27" i="3"/>
  <c r="V27" i="3" s="1"/>
  <c r="J27" i="3"/>
  <c r="T27" i="3" s="1"/>
  <c r="T21" i="3" l="1"/>
  <c r="V8" i="3"/>
  <c r="T37" i="3"/>
  <c r="T42" i="3"/>
  <c r="T48" i="3"/>
  <c r="S45" i="3"/>
  <c r="T53" i="3"/>
  <c r="V59" i="3"/>
  <c r="T39" i="3"/>
  <c r="V47" i="3"/>
  <c r="V35" i="3"/>
  <c r="U11" i="3"/>
  <c r="T7" i="3"/>
  <c r="T6" i="3"/>
  <c r="S27" i="3"/>
  <c r="V15" i="3"/>
  <c r="V7" i="3"/>
  <c r="T11" i="3"/>
  <c r="S56" i="3"/>
  <c r="V32" i="3"/>
  <c r="T23" i="3"/>
  <c r="V20" i="3"/>
  <c r="U38" i="3"/>
  <c r="U55" i="3"/>
  <c r="T26" i="3"/>
  <c r="T34" i="3"/>
  <c r="V44" i="3"/>
  <c r="V46" i="3"/>
  <c r="U46" i="3"/>
  <c r="T47" i="3"/>
  <c r="V16" i="3"/>
  <c r="T46" i="3"/>
  <c r="U43" i="3"/>
  <c r="V23" i="3"/>
  <c r="V19" i="3"/>
  <c r="V24" i="3"/>
  <c r="S14" i="3"/>
  <c r="T59" i="3"/>
  <c r="U14" i="3"/>
  <c r="T38" i="3"/>
  <c r="V58" i="3"/>
  <c r="T31" i="3"/>
  <c r="S40" i="3"/>
  <c r="S22" i="3"/>
  <c r="V22" i="3"/>
  <c r="U22" i="3"/>
  <c r="S54" i="3"/>
  <c r="S35" i="3"/>
  <c r="T13" i="3"/>
  <c r="S51" i="3"/>
  <c r="C17" i="4" s="1"/>
  <c r="N17" i="4" s="1"/>
  <c r="T55" i="3"/>
  <c r="V54" i="3"/>
  <c r="U54" i="3"/>
  <c r="T43" i="3"/>
  <c r="V6" i="3"/>
  <c r="U6" i="3"/>
  <c r="U51" i="3"/>
  <c r="S15" i="3"/>
  <c r="U39" i="3"/>
  <c r="U27" i="3"/>
  <c r="T19" i="3"/>
  <c r="U31" i="3"/>
  <c r="M16" i="4" l="1"/>
  <c r="C16" i="4"/>
  <c r="C9" i="4"/>
  <c r="B16" i="5" s="1"/>
  <c r="M13" i="4"/>
  <c r="M12" i="4"/>
  <c r="C13" i="4"/>
  <c r="D13" i="4" s="1"/>
  <c r="M9" i="4"/>
  <c r="C14" i="4"/>
  <c r="H14" i="4" s="1"/>
  <c r="J14" i="4" s="1"/>
  <c r="M14" i="4"/>
  <c r="M10" i="4"/>
  <c r="M18" i="4"/>
  <c r="C18" i="4"/>
  <c r="D18" i="4" s="1"/>
  <c r="C12" i="4"/>
  <c r="G12" i="4" s="1"/>
  <c r="C15" i="4"/>
  <c r="H15" i="4" s="1"/>
  <c r="J15" i="4" s="1"/>
  <c r="C11" i="4"/>
  <c r="N11" i="4" s="1"/>
  <c r="M11" i="4"/>
  <c r="M15" i="4"/>
  <c r="G17" i="4"/>
  <c r="D17" i="4"/>
  <c r="H17" i="4"/>
  <c r="J17" i="4" s="1"/>
  <c r="D24" i="5" s="1"/>
  <c r="B24" i="5"/>
  <c r="C10" i="4"/>
  <c r="G16" i="4" l="1"/>
  <c r="B23" i="5"/>
  <c r="D16" i="4"/>
  <c r="N16" i="4"/>
  <c r="H16" i="4"/>
  <c r="J16" i="4" s="1"/>
  <c r="H9" i="4"/>
  <c r="J9" i="4" s="1"/>
  <c r="G9" i="4"/>
  <c r="N9" i="4"/>
  <c r="D9" i="4"/>
  <c r="N13" i="4"/>
  <c r="G13" i="4"/>
  <c r="H13" i="4"/>
  <c r="J13" i="4" s="1"/>
  <c r="B20" i="5"/>
  <c r="B21" i="5"/>
  <c r="G14" i="4"/>
  <c r="D14" i="4"/>
  <c r="N14" i="4"/>
  <c r="B25" i="5"/>
  <c r="H18" i="4"/>
  <c r="J18" i="4" s="1"/>
  <c r="N18" i="4"/>
  <c r="G18" i="4"/>
  <c r="G11" i="4"/>
  <c r="D12" i="4"/>
  <c r="H12" i="4"/>
  <c r="J12" i="4" s="1"/>
  <c r="D19" i="5" s="1"/>
  <c r="N12" i="4"/>
  <c r="H11" i="4"/>
  <c r="J11" i="4" s="1"/>
  <c r="L11" i="4" s="1"/>
  <c r="E18" i="5" s="1"/>
  <c r="B19" i="5"/>
  <c r="B22" i="5"/>
  <c r="B18" i="5"/>
  <c r="D15" i="4"/>
  <c r="N15" i="4"/>
  <c r="K17" i="4"/>
  <c r="G15" i="4"/>
  <c r="L17" i="4"/>
  <c r="E24" i="5" s="1"/>
  <c r="D11" i="4"/>
  <c r="D21" i="5"/>
  <c r="L14" i="4"/>
  <c r="E21" i="5" s="1"/>
  <c r="K14" i="4"/>
  <c r="D22" i="5"/>
  <c r="L15" i="4"/>
  <c r="E22" i="5" s="1"/>
  <c r="K15" i="4"/>
  <c r="D10" i="4"/>
  <c r="H10" i="4"/>
  <c r="J10" i="4" s="1"/>
  <c r="G10" i="4"/>
  <c r="B17" i="5"/>
  <c r="N10" i="4"/>
  <c r="L16" i="4" l="1"/>
  <c r="E23" i="5" s="1"/>
  <c r="D23" i="5"/>
  <c r="K16" i="4"/>
  <c r="K9" i="4"/>
  <c r="D16" i="5"/>
  <c r="L9" i="4"/>
  <c r="E16" i="5" s="1"/>
  <c r="K13" i="4"/>
  <c r="D20" i="5"/>
  <c r="L18" i="4"/>
  <c r="E25" i="5" s="1"/>
  <c r="D25" i="5"/>
  <c r="L13" i="4"/>
  <c r="E20" i="5" s="1"/>
  <c r="K18" i="4"/>
  <c r="D18" i="5"/>
  <c r="K12" i="4"/>
  <c r="L12" i="4"/>
  <c r="E19" i="5" s="1"/>
  <c r="K11" i="4"/>
  <c r="L10" i="4"/>
  <c r="E17" i="5" s="1"/>
  <c r="K10" i="4"/>
  <c r="D1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tc={56E389CB-944F-4226-BD5B-DD83A890423F}</author>
    <author>tc={7B578F8A-195A-41F7-B64A-A834FEA01D5B}</author>
  </authors>
  <commentList>
    <comment ref="F4" authorId="0" shapeId="0" xr:uid="{56E389CB-944F-4226-BD5B-DD83A890423F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Servono a Giorgia
</t>
      </text>
    </comment>
    <comment ref="F5" authorId="1" shapeId="0" xr:uid="{7B578F8A-195A-41F7-B64A-A834FEA01D5B}">
      <text>
        <t xml:space="preserve">[Commento in thread]
La versione di Excel in uso consente di leggere questo commento in thread, ma tutte le modifiche a esso apportate verranno rimosse se il file viene aperto in una versione più recente di Excel. Ulteriori informazioni: https://go.microsoft.com/fwlink/?linkid=870924
Commento:
Mat non va utilizzata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3" authorId="0" shapeId="0" xr:uid="{00000000-0006-0000-0300-000001000000}">
      <text>
        <r>
          <rPr>
            <sz val="11"/>
            <color theme="1"/>
            <rFont val="Calibri"/>
            <family val="2"/>
          </rPr>
          <t>Il valore in B4 può essere cambiato per usare un diverso caso reporting presente in Input reporting B.</t>
        </r>
      </text>
    </comment>
  </commentList>
</comments>
</file>

<file path=xl/sharedStrings.xml><?xml version="1.0" encoding="utf-8"?>
<sst xmlns="http://schemas.openxmlformats.org/spreadsheetml/2006/main" count="1072" uniqueCount="415">
  <si>
    <t>Input survey A</t>
  </si>
  <si>
    <t>Dati survey selezionati e mantenuti separati dal calcolo della matrice.</t>
  </si>
  <si>
    <t>File origine</t>
  </si>
  <si>
    <t>chat_Galactica_Prova_calcolo score.xlsx</t>
  </si>
  <si>
    <t>Foglio origine</t>
  </si>
  <si>
    <t>Sheet0</t>
  </si>
  <si>
    <t>Riga origine selezionata</t>
  </si>
  <si>
    <t>Ragione sociale</t>
  </si>
  <si>
    <t>GM Spa</t>
  </si>
  <si>
    <t>Tipo impresa</t>
  </si>
  <si>
    <t>PMI</t>
  </si>
  <si>
    <t>Peso usato nella simulazione</t>
  </si>
  <si>
    <t>Peso PMI</t>
  </si>
  <si>
    <t>Codice domanda</t>
  </si>
  <si>
    <t>Testo domanda</t>
  </si>
  <si>
    <t>Risposta survey</t>
  </si>
  <si>
    <t>Presente in mappatura 2.0</t>
  </si>
  <si>
    <t>Nota</t>
  </si>
  <si>
    <t>CQ1</t>
  </si>
  <si>
    <t>Le persone sono e si sentono libere di esprimere il proprio punto di vista e il proprio disaccordo? ⓘ</t>
  </si>
  <si>
    <t>Sì</t>
  </si>
  <si>
    <t/>
  </si>
  <si>
    <t>CQ2</t>
  </si>
  <si>
    <t>Esistono spazi e strumenti strutturati in cui le persone possano proporre miglioramenti? ⓘ</t>
  </si>
  <si>
    <t>CQ3</t>
  </si>
  <si>
    <t>Il linguaggio interno tiene in considerazione le diverse identità quali ad esempio il genere, i background culturali, il livello di istruzione? ⓘ</t>
  </si>
  <si>
    <t>CQ4</t>
  </si>
  <si>
    <t>Esistono procedure e policy formalizzate per prevenire, contrastare e  segnalare episodi di discriminazione, pregiudizio o microaggressioni?  ⓘ</t>
  </si>
  <si>
    <t>CQ5</t>
  </si>
  <si>
    <t>L’organizzazione prende in considerazione il tema della sicurezza psicologica? ⓘ</t>
  </si>
  <si>
    <t>PQ1</t>
  </si>
  <si>
    <t>La comunicazione interna è accessibile? ⓘ</t>
  </si>
  <si>
    <t>PQ2</t>
  </si>
  <si>
    <t>È presente un programma di inserimento (onboarding) per persone neo-assunte che promuove il valore dell'inclusione? ⓘ</t>
  </si>
  <si>
    <t>PQ3</t>
  </si>
  <si>
    <t>Sono presenti misure di flessibilità e conciliazione vita-lavoro per supportare tutte le persone? ⓘ</t>
  </si>
  <si>
    <t>PQ4</t>
  </si>
  <si>
    <t>L'organizzazione monitora l’accesso e l’utilizzo dei congedi parentali e familiari? ⓘ</t>
  </si>
  <si>
    <t>PQ5</t>
  </si>
  <si>
    <t>L’organizzazione riflette e agisce sul rapporto tra longevità lavorativa, avanzamenti di carriera, sostenibilità dei ruoli e benessere delle persone nelle diverse fasi della vita professionale? ⓘ</t>
  </si>
  <si>
    <t>PQ6</t>
  </si>
  <si>
    <t>I processi HR considerano le specificità delle diverse identità, garantendo opportunità eque? ⓘ</t>
  </si>
  <si>
    <t>PQ7</t>
  </si>
  <si>
    <t>L'organizzazione prevede formazione per promuovere opportunità eque di carriera e lo sviluppo continuo delle competenze professionali? ⓘ</t>
  </si>
  <si>
    <t>CQ6</t>
  </si>
  <si>
    <t>Sono offerti percorsi di formazione strutturati su bias (pregiudizi inconsapevoli o automatismi) e relazioni consapevoli? ⓘ</t>
  </si>
  <si>
    <t>PQ8</t>
  </si>
  <si>
    <t>I bias sono monitorati e l'organizzazione compie azioni per limitarne l'impatto nelle fasi chiave HR (selezione, performance, avanzamenti, retribuzioni)? ⓘ</t>
  </si>
  <si>
    <t>PQ9</t>
  </si>
  <si>
    <t>Esistono strategie per attrarre, trattenere e valorizzare persone rappresentative delle diversità? ⓘ</t>
  </si>
  <si>
    <t>PQ10</t>
  </si>
  <si>
    <t>Nell'organizzazione, la diversità è rappresentata in modo equilibrato nei diversi ruoli e funzioni? ⓘ</t>
  </si>
  <si>
    <t>PQ11</t>
  </si>
  <si>
    <t>È implementata una politica di parità salariale con audit regolari? ⓘ</t>
  </si>
  <si>
    <t>PQ12</t>
  </si>
  <si>
    <t>I flussi di lavoro sono documentati, accessibili e progettati per ridurre bias e barriere, favorendo equità tra le persone? ⓘ</t>
  </si>
  <si>
    <t>SQ1</t>
  </si>
  <si>
    <t>Le policy e le procedure organizzative tengono in considerazione la  DEIA? ⓘ</t>
  </si>
  <si>
    <t>PQ13</t>
  </si>
  <si>
    <t>I processi e le policy organizzative sono progettati secondo principi di Universal Design e prevedono accomodamenti ragionevoli per garantire accessibilità e inclusione per tutte le persone, incluse quelle con disabilità o neurodiversità? ⓘ</t>
  </si>
  <si>
    <t>PQ14</t>
  </si>
  <si>
    <t>Le tecnologie organizzative (sito web, intranet, piattaforme collaborative, sistemi HR, email, app) rispettano standard di accessibilità digitale per garantire pari opportunità di accesso e utilizzo a tutte le persone? ⓘ</t>
  </si>
  <si>
    <t>PQ15</t>
  </si>
  <si>
    <t>Sono progettate e implementate soluzioni di accessibilità fisica per persone neurodivergenti o con disabilità visibili e invisibili? ⓘ</t>
  </si>
  <si>
    <t>PQ16</t>
  </si>
  <si>
    <t>I sistemi  tech e digitali (es. AI, piattaforme HR, CRM) sono verificati per evitare bias o effetti discriminatori? ⓘ</t>
  </si>
  <si>
    <t>SQ2</t>
  </si>
  <si>
    <t>La leadership promuove attivamente la DEIA con consapevolezza e responsabilità? ⓘ</t>
  </si>
  <si>
    <t>SQ3</t>
  </si>
  <si>
    <t>La leadership è formata in modo strutturato su competenze legate a diversità, equità, inclusione e accessibilità? ⓘ</t>
  </si>
  <si>
    <t>SQ4</t>
  </si>
  <si>
    <t>La leadership agisce in modo coerente rispetto ai valori DEIA dichiarati? ⓘ</t>
  </si>
  <si>
    <t>SQ5</t>
  </si>
  <si>
    <t>Sono previsti specifici KPI di valutazione della leadership rispetto al raggiungimento di obiettivi legati alla diversificazione dei team e alla costruzione di ambienti di lavoro inclusivi? ⓘ</t>
  </si>
  <si>
    <t>SQ6</t>
  </si>
  <si>
    <t>Le responsabilità DEIA sono chiaramente definite e distribuite nell’organizzazione, con la presenza di figure o strutture che ne coordinano la governance? ⓘ</t>
  </si>
  <si>
    <t>MQ1</t>
  </si>
  <si>
    <t>La strategia, le azioni e i risultati riferibili alla DEIA sono comunicati con trasparenza verso tutti gli stakeholder interni ed esterni (dipendenti, clienti, fornitori, società civile,…)? ⓘ</t>
  </si>
  <si>
    <t>MQ2</t>
  </si>
  <si>
    <t>La strategia di marketing e comunicazione esterna (PR, media, growth marketing) tiene in considerazione le diversità della società? ⓘ</t>
  </si>
  <si>
    <t>MQ3</t>
  </si>
  <si>
    <t>Le campagne di comunicazione includono rappresentazione visiva e narrativa delle diversità (aspetto fisico, disabilità, età, etnia,  genere, LGBT+,  religione, status socio economico)? ⓘ</t>
  </si>
  <si>
    <t>MQ4</t>
  </si>
  <si>
    <t>Le campagne di comunicazione sono progettate per essere accessibili? ⓘ</t>
  </si>
  <si>
    <t>MQ5</t>
  </si>
  <si>
    <t>L'impatto delle campagne di marketing e comunicazione è monitorato prendendo in considerazione le diversità? ⓘ</t>
  </si>
  <si>
    <t>MQ6</t>
  </si>
  <si>
    <t>Il mercato riconosce l’impegno DEIA dell’organizzazione e questa percezione viene misurata e utilizzata per migliorare? ⓘ</t>
  </si>
  <si>
    <t>MQ7</t>
  </si>
  <si>
    <t>La strategia di segmentazione di mercato prende in considerazione le diversità della customer base? ⓘ</t>
  </si>
  <si>
    <t>MQ8</t>
  </si>
  <si>
    <t>I risultati di vendita/fatturato sono monitorati tenendo in considerazione la diversità della clientela? ⓘ</t>
  </si>
  <si>
    <t>MQ9</t>
  </si>
  <si>
    <t>L'organizzazione considera i fattori di diversità, equità, inclusione e accessibilità quando realizza ricerche di mercato su brand equity, prodotto, servizi e comunicazione (es. survey, focus group)? ⓘ</t>
  </si>
  <si>
    <t>CQ7</t>
  </si>
  <si>
    <t>I team che si occupano dell'esperienza cliente e di sviluppo prodotti e servizi ricevono formazione sulle tematiche DEIA? ⓘ</t>
  </si>
  <si>
    <t>MQ10</t>
  </si>
  <si>
    <t>I prodotti e i servizi sono progettati considerando le specificità delle diverse identità presenti nell'organizzazione? ⓘ</t>
  </si>
  <si>
    <t>MQ11</t>
  </si>
  <si>
    <t>Le persone rappresentative delle diversità sono coinvolte nelle fasi di test e validazione di prodotti/servizi? ⓘ</t>
  </si>
  <si>
    <t>MQ12</t>
  </si>
  <si>
    <t>L'esperienza cliente considera, in ogni punto di contatto, le persone rappresentative delle diversità nell'organizzazione? ⓘ</t>
  </si>
  <si>
    <t>MQ13</t>
  </si>
  <si>
    <t>Gli spazi retail e gli spazi aperti al pubblico esterno sono accessibili fisicamente a persone con disabilità? ⓘ</t>
  </si>
  <si>
    <t>PQ17</t>
  </si>
  <si>
    <t>I processi d'innovazione considerano le diversità, l'equità, l'inclusione e l'accessibilità? ⓘ</t>
  </si>
  <si>
    <t>PQ18</t>
  </si>
  <si>
    <t>I team di ricerca e sviluppo, di marketing e comunicazione hanno competenze multidisciplinari e prospettive diversificate? ⓘ</t>
  </si>
  <si>
    <t>PQ19</t>
  </si>
  <si>
    <t>Esistono linee guida etiche per l’utilizzo di AI e sistemi automatizzati rispetto a equità, trasparenza e non discriminazione? ⓘ</t>
  </si>
  <si>
    <t>MQ14</t>
  </si>
  <si>
    <t>L’organizzazione misura l’impatto sociale di prodotti, servizi e della comunicazione? ⓘ</t>
  </si>
  <si>
    <t>MQ15</t>
  </si>
  <si>
    <t>L’organizzazione promuove e/o realizza iniziative a beneficio della comunità? ⓘ</t>
  </si>
  <si>
    <t>MQ16</t>
  </si>
  <si>
    <t>L’organizzazione partecipa attivamente a iniziative pubbliche a favore dell’inclusione e dei diritti umani? ⓘ</t>
  </si>
  <si>
    <t>MQ17</t>
  </si>
  <si>
    <t>La politica di qualifica, selezione, rinnovo e audit dei fornitori prevede il rispetto dei criteri DEIA e li monitora nel tempo? ⓘ</t>
  </si>
  <si>
    <t>MQ18</t>
  </si>
  <si>
    <t>L’organizzazione coinvolge fornitori e altri partner esterni in iniziative o attività relative alla DEIA? ⓘ</t>
  </si>
  <si>
    <t>No</t>
  </si>
  <si>
    <t>Presente nella survey ma assente nella mappatura 2.0</t>
  </si>
  <si>
    <t>SQ7</t>
  </si>
  <si>
    <t>L’organizzazione conduce analisi periodiche dei bisogni legati alla DEIA? ⓘ</t>
  </si>
  <si>
    <t>SQ8</t>
  </si>
  <si>
    <t>Sono presenti KPI per misurare e monitorare in modo strutturato le iniziative e le politiche DEIA? ⓘ</t>
  </si>
  <si>
    <t>SQ9</t>
  </si>
  <si>
    <t>La DEIA è inclusa nei valori dell'organizzazione? ⓘ</t>
  </si>
  <si>
    <t>SQ10</t>
  </si>
  <si>
    <t>La DEIA è integrata in modo strutturale nella visione strategica dell'organizzazione? ⓘ</t>
  </si>
  <si>
    <t>SQ11</t>
  </si>
  <si>
    <t>L'organizzazione ha un piano strategico DEIA pluriennale con obiettivi chiari e misurabili? ⓘ</t>
  </si>
  <si>
    <t>SQ12</t>
  </si>
  <si>
    <t>In che misura l'organizzazione assume decisioni finanziarie (es. budget, investimenti, incentivi) che tengono esplicitamente conto di obiettivi di diversità, equità, inclusione e accessibilità? ⓘ</t>
  </si>
  <si>
    <t>Score A originali presenti nel file survey (non usati direttamente nella matrice C)</t>
  </si>
  <si>
    <t>Voce score originale</t>
  </si>
  <si>
    <t>Valore</t>
  </si>
  <si>
    <t>PROCESSI score</t>
  </si>
  <si>
    <t>CULTURA score</t>
  </si>
  <si>
    <t>STRATEGIA score</t>
  </si>
  <si>
    <t>MERCATO score</t>
  </si>
  <si>
    <t>CULTURA | CULTURA E COMPORTAMENTI score</t>
  </si>
  <si>
    <t>CULTURA | BENESSERE E SICUREZZA PSICOLOGICA score</t>
  </si>
  <si>
    <t>PROCESSI | PROCESSI OPERATIVI E ACCESSIBILITÀ score</t>
  </si>
  <si>
    <t>PROCESSI | PERSONE E PROCESSI score</t>
  </si>
  <si>
    <t>CULTURA | FORMAZIONE E CONSAPEVOLEZZA score</t>
  </si>
  <si>
    <t>STRATEGIA | STRATEGIA E PIANIFICAZIONE score</t>
  </si>
  <si>
    <t>STRATEGIA | GOVERNANCE E LEADERSHIP score</t>
  </si>
  <si>
    <t>MERCATO | BRAND, COMUNICAZIONE E RAPPRESENTAZIONE score</t>
  </si>
  <si>
    <t>MERCATO | CLIENTI, UTENTI E ACCESSIBILITÀ score</t>
  </si>
  <si>
    <t>PROCESSI | INNOVAZIONE, RICERCA E SVILUPPO score</t>
  </si>
  <si>
    <t>MERCATO | IMPATTO SOCIALE E POSIZIONAMENTO score</t>
  </si>
  <si>
    <t>STRATEGIA | MISURAZIONE E IMPATTO score</t>
  </si>
  <si>
    <t>Input reporting B</t>
  </si>
  <si>
    <t>Dati di content analysis; valori tema per tema mantenuti come interi 1-4.</t>
  </si>
  <si>
    <t>Dataset reporting-0107.xlsx</t>
  </si>
  <si>
    <t>Dataset_reporting</t>
  </si>
  <si>
    <t>Caso reporting selezionato per matrice</t>
  </si>
  <si>
    <t>4BILD S.p.A.</t>
  </si>
  <si>
    <t>Nota simulazione</t>
  </si>
  <si>
    <t>Il caso reporting selezionato è usato come proxy di prova perché non esiste GM Spa nel dataset reporting.</t>
  </si>
  <si>
    <t>Azienda</t>
  </si>
  <si>
    <t>Dimensione</t>
  </si>
  <si>
    <t>Tema reporting</t>
  </si>
  <si>
    <t>Score reporting</t>
  </si>
  <si>
    <t>Usato matrice</t>
  </si>
  <si>
    <t>Chiave lookup</t>
  </si>
  <si>
    <t>Riga fonte dataset</t>
  </si>
  <si>
    <t>Foundation</t>
  </si>
  <si>
    <t>4BILD S.p.A.|Foundation</t>
  </si>
  <si>
    <t>HR</t>
  </si>
  <si>
    <t>4BILD S.p.A.|HR</t>
  </si>
  <si>
    <t>Employment</t>
  </si>
  <si>
    <t>4BILD S.p.A.|Employment</t>
  </si>
  <si>
    <t>Employees Engagement</t>
  </si>
  <si>
    <t>4BILD S.p.A.|Employees Engagement</t>
  </si>
  <si>
    <t>Education &amp; Training</t>
  </si>
  <si>
    <t>4BILD S.p.A.|Education &amp; Training</t>
  </si>
  <si>
    <t>Non-discrimination</t>
  </si>
  <si>
    <t>4BILD S.p.A.|Non-discrimination</t>
  </si>
  <si>
    <t>Monitoring</t>
  </si>
  <si>
    <t>4BILD S.p.A.|Monitoring</t>
  </si>
  <si>
    <t>Supply Chain Diversity</t>
  </si>
  <si>
    <t>4BILD S.p.A.|Supply Chain Diversity</t>
  </si>
  <si>
    <t>Usata la prima colonna Supply Chain; la colonna duplicata Supply chain è mantenuta nel raw data.</t>
  </si>
  <si>
    <t>Communities</t>
  </si>
  <si>
    <t>4BILD S.p.A.|Communities</t>
  </si>
  <si>
    <t>End-users</t>
  </si>
  <si>
    <t>4BILD S.p.A.|End-users</t>
  </si>
  <si>
    <t>Fater S.p.A.</t>
  </si>
  <si>
    <t>Grande impresa</t>
  </si>
  <si>
    <t>Fater S.p.A.|Foundation</t>
  </si>
  <si>
    <t>Fater S.p.A.|HR</t>
  </si>
  <si>
    <t>Fater S.p.A.|Employment</t>
  </si>
  <si>
    <t>Fater S.p.A.|Employees Engagement</t>
  </si>
  <si>
    <t>Fater S.p.A.|Education &amp; Training</t>
  </si>
  <si>
    <t>Fater S.p.A.|Non-discrimination</t>
  </si>
  <si>
    <t>Fater S.p.A.|Monitoring</t>
  </si>
  <si>
    <t>Fater S.p.A.|Supply Chain Diversity</t>
  </si>
  <si>
    <t>Fater S.p.A.|Communities</t>
  </si>
  <si>
    <t>Fater S.p.A.|End-users</t>
  </si>
  <si>
    <t>Iveco Group N.V.</t>
  </si>
  <si>
    <t>Iveco Group N.V.|Foundation</t>
  </si>
  <si>
    <t>Iveco Group N.V.|HR</t>
  </si>
  <si>
    <t>Iveco Group N.V.|Employment</t>
  </si>
  <si>
    <t>Iveco Group N.V.|Employees Engagement</t>
  </si>
  <si>
    <t>Iveco Group N.V.|Education &amp; Training</t>
  </si>
  <si>
    <t>Iveco Group N.V.|Non-discrimination</t>
  </si>
  <si>
    <t>Iveco Group N.V.|Monitoring</t>
  </si>
  <si>
    <t>Iveco Group N.V.|Supply Chain Diversity</t>
  </si>
  <si>
    <t>Iveco Group N.V.|Communities</t>
  </si>
  <si>
    <t>Iveco Group N.V.|End-users</t>
  </si>
  <si>
    <t>Dati originali wide dal foglio Dataset_reporting</t>
  </si>
  <si>
    <t>Nome azienda</t>
  </si>
  <si>
    <t>P.IVA</t>
  </si>
  <si>
    <t>Settore</t>
  </si>
  <si>
    <t>Tipologia Report</t>
  </si>
  <si>
    <t>Standards /
Guidelines</t>
  </si>
  <si>
    <t>Tipologia analisi materialità</t>
  </si>
  <si>
    <t>Sezione specifica DEIA reporting</t>
  </si>
  <si>
    <t>DEIA website (Link)</t>
  </si>
  <si>
    <t>Supply Chain</t>
  </si>
  <si>
    <t>Supply chain</t>
  </si>
  <si>
    <t>Score</t>
  </si>
  <si>
    <t>Religione e credo</t>
  </si>
  <si>
    <t>Disabilità</t>
  </si>
  <si>
    <t>Generazioni ed età</t>
  </si>
  <si>
    <t>Etnia</t>
  </si>
  <si>
    <t>Genere</t>
  </si>
  <si>
    <t>LGBTQIA+</t>
  </si>
  <si>
    <t>Status socio-economico</t>
  </si>
  <si>
    <t>Aspetto Fisico</t>
  </si>
  <si>
    <t>Note</t>
  </si>
  <si>
    <t>07501260967</t>
  </si>
  <si>
    <t>Distribuzione materiali edili</t>
  </si>
  <si>
    <t>Bilancio di sostenibilità 2024</t>
  </si>
  <si>
    <t>GRI Standards; SDGs/Agenda 2030; analisi di doppia materialità</t>
  </si>
  <si>
    <t>Doppia materialità con stakeholder engagement e questionario ESG</t>
  </si>
  <si>
    <t>Sì - capitolo Persone, sezione 5.3 Benessere personale e principi D&amp;I</t>
  </si>
  <si>
    <t>https://www.4bild.it/4bild-di-e-parita-di-genere/</t>
  </si>
  <si>
    <t>Evidenze: primo bilancio di sostenibilità; valori e sfide includono D&amp;I/parità di genere e diversità come valore (pp. 8, 16-17, 22-23); D&amp;I e non discriminazione sono tema materiale GRI 405/406 (pp. 30-33). Policy D&amp;I e parità di genere approvata 23/10/2024, UNI/PdR 125:2022, zero tolerance su discriminazioni/molestie, pari opportunità formative/crescita/retribuzione, empowerment femminile, feedback e monitoraggio annuale (pp. 54-57, 64-65). KPI occupazione/turnover per genere/età e 4BILD Accademia (pp. 58-63). Comunità: WECARE, Perù/Rwanda e sponsorizzazioni (pp. 66-67). Criticità: supplier diversity, religione, disabilità, etnia, LGBTQIA+, aspetto fisico e accessibilità end-user poco o non rendicontati.</t>
  </si>
  <si>
    <t>Largo consumo</t>
  </si>
  <si>
    <t>Report di Sostenibilità 2024/25</t>
  </si>
  <si>
    <t>GRI/CSRD citati come requisiti metriche ESG; EcoVadis; Certificazione di Parità di Genere</t>
  </si>
  <si>
    <t>n.a.</t>
  </si>
  <si>
    <t>Sì - sezione Every Day a Better Society con KPI DE&amp;I/sociali</t>
  </si>
  <si>
    <t>https://fatergroup.com/people-first/</t>
  </si>
  <si>
    <t>Evidenze: report accessibile e valori di trasparenza, inclusione e fiducia (p. 3); cultura People First e Better Society (pp. 4-6). KPI sociali: 1.632 dipendenti, 92% a tempo indeterminato, gender pay gap 1,6%, 38,5% donne manager, 75% Happiness Survey, 66 categorie protette, +24% under 30, congedo esteso vittime di violenza, Kids@Campus/no meeting zone, turnover e target raggiunti (p. 6). KPI e target Better Society: pay gap, survey interna, gender balance, 622k persone coinvolte, target 2024/25 e 2039/40; metodologia KPI (pp. 22-23). Fornitori: rating ESG e SA8000 per nuovi fornitori (pp. 7, 26). Criticità: disclosure sintetica; formazione DEIA, supplier diversity, religione, etnia, LGBTQIA+ e aspetto fisico non documentati.</t>
  </si>
  <si>
    <t>Automotive</t>
  </si>
  <si>
    <t>Annual Report 2025 con Sustainability Statement</t>
  </si>
  <si>
    <t>ESRS/CSRD; EU Taxonomy; sustainability statement con limited assurance; riferimenti SFDR/benchmark/Pillar 3 ove applicabili</t>
  </si>
  <si>
    <t>Doppia materialità / IRO assessment secondo ESRS</t>
  </si>
  <si>
    <t>Sì - Sustainability Statement S1/S2/S3/S4 e disclosure DEI Policy/DEI Council</t>
  </si>
  <si>
    <t>https://www.ivecogroup.com/sustainability/diversity_equity_and_inclusion/our_dei_commitment</t>
  </si>
  <si>
    <t>Evidenze: ESRS Sustainability Statement e double materiality con S1, S2, S3, S4 materiali (pp. 34, 94). Board diversity e DEI Policy integrate in governance/strategia (pp. 17-18, 97). DEI Policy vieta discriminazioni per etnia/razza, genere, orientamento sessuale, status personale/sociale, salute, condizione fisica, disabilità, età, nazionalità, credo religioso/personale, opinione politica; DEI goals in sustainability strategy (p. 97). Compliance Helpline in 15 lingue, Human Rights Policy e audit/assessment 100% siti/dipendenti, nessuna grave violazione (pp. 98-101, 126-127). KPI workforce per genere, età, contratti, turnover; pay gap -3,1% e EDGE; benefici; training 343.112 ore e medie per genere/categoria (pp. 100-112, 119). Supply chain: Supplier Code non discriminatorio, engagement, 80 audit, 745 findings/CAP; CAP social includono diversity/inclusion/equal opportunities e grievance (pp. 129-131, 159). Comunità: 5 pilastri, target +50% studenti coinvolti, €3,31 mln (p. 135). End-users: S4 product safety/accessibility e ADAS target, ma meno specifico su inclusive design DEIA (pp. 136-141). Criticità: molte dimensioni oltre genere/età sono policy-based senza KPI dedicati.</t>
  </si>
  <si>
    <t>Mappatura A-B-C</t>
  </si>
  <si>
    <t>Mappatura operativa tra domande survey e temi reporting con pesi, quote 70/30 e contributi al calcolo.</t>
  </si>
  <si>
    <t>Riga fonte</t>
  </si>
  <si>
    <t>N.</t>
  </si>
  <si>
    <t>Cod. domanda</t>
  </si>
  <si>
    <t>Framework diversity</t>
  </si>
  <si>
    <t>Sottogruppo</t>
  </si>
  <si>
    <t>Cod. standard</t>
  </si>
  <si>
    <t>Cod. 1</t>
  </si>
  <si>
    <t>Cod. 2</t>
  </si>
  <si>
    <t>Tema 1</t>
  </si>
  <si>
    <t>% alloc. 1</t>
  </si>
  <si>
    <t>Tema 2</t>
  </si>
  <si>
    <t>% alloc. 2</t>
  </si>
  <si>
    <t>Peso GRANDI</t>
  </si>
  <si>
    <t>Inclusa matrice</t>
  </si>
  <si>
    <t>Motivo esclusione / stato</t>
  </si>
  <si>
    <t>Contributo num. tema 1</t>
  </si>
  <si>
    <t>Contributo den. tema 1</t>
  </si>
  <si>
    <t>Contributo num. tema 2</t>
  </si>
  <si>
    <t>Contributo den. tema 2</t>
  </si>
  <si>
    <t>Note controllo</t>
  </si>
  <si>
    <t>CULTURA</t>
  </si>
  <si>
    <t>CULTURA E COMPORTAMENTI</t>
  </si>
  <si>
    <t>MAT</t>
  </si>
  <si>
    <t>EE</t>
  </si>
  <si>
    <t>EE/ND</t>
  </si>
  <si>
    <t>ND</t>
  </si>
  <si>
    <t>BENESSERE E SICUREZZA PSICOLOGICA</t>
  </si>
  <si>
    <t>PROCESSI</t>
  </si>
  <si>
    <t>PROCESSI OPERATIVI E ACCESSIBILITÀ</t>
  </si>
  <si>
    <t>PERSONE E PROCESSI</t>
  </si>
  <si>
    <t>ET1/ET2</t>
  </si>
  <si>
    <t>ET</t>
  </si>
  <si>
    <t>E2</t>
  </si>
  <si>
    <t>E</t>
  </si>
  <si>
    <t>E3</t>
  </si>
  <si>
    <t>E1/E2</t>
  </si>
  <si>
    <t>HR1/HR2</t>
  </si>
  <si>
    <t>ET1/ET4</t>
  </si>
  <si>
    <t>FORMAZIONE E CONSAPEVOLEZZA</t>
  </si>
  <si>
    <t>ET2/ET3</t>
  </si>
  <si>
    <t>HR2/E1</t>
  </si>
  <si>
    <t>M/HR1</t>
  </si>
  <si>
    <t>M</t>
  </si>
  <si>
    <t>E2/E4</t>
  </si>
  <si>
    <t>E1/ND</t>
  </si>
  <si>
    <t>STRATEGIA</t>
  </si>
  <si>
    <t>STRATEGIA E PIANIFICAZIONE</t>
  </si>
  <si>
    <t>F</t>
  </si>
  <si>
    <t>E1</t>
  </si>
  <si>
    <t>GOVERNANCE E LEADERSHIP</t>
  </si>
  <si>
    <t>ET2/F</t>
  </si>
  <si>
    <t>M/F</t>
  </si>
  <si>
    <t>MERCATO</t>
  </si>
  <si>
    <t>BRAND, COMUNICAZIONE E RAPPRESENTAZIONE</t>
  </si>
  <si>
    <t>EU</t>
  </si>
  <si>
    <t>EU/ND</t>
  </si>
  <si>
    <t>M/EU</t>
  </si>
  <si>
    <t>CLIENTI, UTENTI E ACCESSIBILITÀ</t>
  </si>
  <si>
    <t>EU/M</t>
  </si>
  <si>
    <t>ET/EU</t>
  </si>
  <si>
    <t>EU/EE</t>
  </si>
  <si>
    <t>INNOVAZIONE, RICERCA E SVILUPPO</t>
  </si>
  <si>
    <t>E1/EU</t>
  </si>
  <si>
    <t>HR1</t>
  </si>
  <si>
    <t>Peso PMI non valorizzato: esclusa per impossibilità di calcolo ponderato.</t>
  </si>
  <si>
    <t>IMPATTO SOCIALE E POSIZIONAMENTO</t>
  </si>
  <si>
    <t>C</t>
  </si>
  <si>
    <t>SC</t>
  </si>
  <si>
    <t>MISURAZIONE E IMPATTO</t>
  </si>
  <si>
    <t>EE/M</t>
  </si>
  <si>
    <t>F/M</t>
  </si>
  <si>
    <t>Calcoli matrice C</t>
  </si>
  <si>
    <t>Calcolo tema per tema della matrice: survey praticata vs reporting comunicata.</t>
  </si>
  <si>
    <t>Caso survey</t>
  </si>
  <si>
    <t>Caso reporting</t>
  </si>
  <si>
    <t>Soglia alta/bassa</t>
  </si>
  <si>
    <t>Regola alta/bassa</t>
  </si>
  <si>
    <t>Alta &gt; 2,50; Bassa &lt;= 2,50</t>
  </si>
  <si>
    <t>Codice</t>
  </si>
  <si>
    <t>Score survey / praticata</t>
  </si>
  <si>
    <t>Livello survey</t>
  </si>
  <si>
    <t>Score reporting / comunicata</t>
  </si>
  <si>
    <t>Livello reporting</t>
  </si>
  <si>
    <t>Differenza reporting-survey</t>
  </si>
  <si>
    <t>Maturità survey</t>
  </si>
  <si>
    <t>Maturità reporting</t>
  </si>
  <si>
    <t>Quadrante matrice</t>
  </si>
  <si>
    <t>Interpretazione sintetica</t>
  </si>
  <si>
    <t>Priorità intervento</t>
  </si>
  <si>
    <t>Denominatore survey</t>
  </si>
  <si>
    <t>Check range</t>
  </si>
  <si>
    <t>Matrice trasparenza</t>
  </si>
  <si>
    <t>Posizionamento finale dei temi nei quadranti della matrice.</t>
  </si>
  <si>
    <t>Asse X</t>
  </si>
  <si>
    <t>Maturità DEIA praticata da survey</t>
  </si>
  <si>
    <t>Asse Y</t>
  </si>
  <si>
    <t>Maturità reportistica DEIA comunicata</t>
  </si>
  <si>
    <t>Bassa maturità survey (&lt;=2,50)</t>
  </si>
  <si>
    <t>Alta maturità survey (&gt;2,50)</t>
  </si>
  <si>
    <t>Alta maturità reporting (&gt;2,50)</t>
  </si>
  <si>
    <t>SOVRAESPOSIZIONE
Foundation
Employment
Employees Engagement
Education &amp; Training
Non-discrimination
Monitoring
Supply Chain Diversity</t>
  </si>
  <si>
    <t>ALLINEAMENTO VIRTUOSO
HR
Communities</t>
  </si>
  <si>
    <t>Bassa maturità reporting (&lt;=2,50)</t>
  </si>
  <si>
    <t>AREA FRAGILE
End-users</t>
  </si>
  <si>
    <t>POTENZIALE NASCOSTO
Nessun tema</t>
  </si>
  <si>
    <t>Tema</t>
  </si>
  <si>
    <t>Score survey X</t>
  </si>
  <si>
    <t>Score reporting Y</t>
  </si>
  <si>
    <t>Quadrante</t>
  </si>
  <si>
    <t>Priorità</t>
  </si>
  <si>
    <t>Tema chart</t>
  </si>
  <si>
    <t>X survey</t>
  </si>
  <si>
    <t>Y reporting</t>
  </si>
  <si>
    <t>linea verticale x=2,5</t>
  </si>
  <si>
    <t>linea orizzontale y=2,5</t>
  </si>
  <si>
    <t>Note e assunzioni</t>
  </si>
  <si>
    <t>Assunzioni operative applicate alla simulazione e tabelle di supporto per le formule.</t>
  </si>
  <si>
    <t>Elemento</t>
  </si>
  <si>
    <t>Assunzione / nota</t>
  </si>
  <si>
    <t>Fonte primaria metodologia</t>
  </si>
  <si>
    <t>Metodologia Osservatorio DEIA_12-06-2026_GM MB.docx, punto C: scala comune 1-4 e matrice survey/reporting.</t>
  </si>
  <si>
    <t>Fonte logiche calcolo</t>
  </si>
  <si>
    <t>Prova chat 2.0.xlsx, foglio Dataset_Qualtrics, colonne F-H e pesi PMI/GRANDI.</t>
  </si>
  <si>
    <t>Fonte survey A</t>
  </si>
  <si>
    <t>chat_Galactica_Prova_calcolo score.xlsx, foglio Sheet0, riga 3: GM Spa.</t>
  </si>
  <si>
    <t>Fonte reporting B</t>
  </si>
  <si>
    <t>Dataset reporting-0107.xlsx, foglio Dataset_reporting, righe 2-4.</t>
  </si>
  <si>
    <t>Caso survey selezionato</t>
  </si>
  <si>
    <t>GM Spa, riga 3, Tipo impresa = PMI, Peso usato = Peso PMI.</t>
  </si>
  <si>
    <t>Caso reporting selezionato</t>
  </si>
  <si>
    <t>4BILD S.p.A., riga 2, scelto come caso campione perché PMI e prima content analysis disponibile.</t>
  </si>
  <si>
    <t>Assunzione di simulazione</t>
  </si>
  <si>
    <t>La matrice abbina GM Spa survey e 4BILD reporting solo per prova di calcolo: nei file non è presente una content analysis GM Spa.</t>
  </si>
  <si>
    <t>Regola MAT</t>
  </si>
  <si>
    <t>Le domande con Cod. standard = MAT sono escluse dalla matrice.</t>
  </si>
  <si>
    <t>Regola allocazione</t>
  </si>
  <si>
    <t>Cod. 1 = 100% se Cod. 2 è vuoto; Cod. 1 = 70% e Cod. 2 = 30% se Cod. 2 è valorizzato.</t>
  </si>
  <si>
    <t>Formula survey per tema</t>
  </si>
  <si>
    <t>Score = somma(risposta x peso survey x quota allocazione) / somma(peso survey x quota allocazione).</t>
  </si>
  <si>
    <t>Reporting B</t>
  </si>
  <si>
    <t>I valori di content analysis sono mantenuti interi per tema. Non sono ricalcolati né mediati per la matrice.</t>
  </si>
  <si>
    <t>Per Supply Chain Diversity è usata la prima colonna “Supply Chain”; la seconda “Supply chain” è mantenuta come dato originale ma segnalata come duplicazione.</t>
  </si>
  <si>
    <t>Soglia quadranti</t>
  </si>
  <si>
    <t>Bassa maturità &lt;= 2,50; alta maturità &gt; 2,50.</t>
  </si>
  <si>
    <t>Scala livello</t>
  </si>
  <si>
    <t>1: 1-1,50; 2: 1,51-2,50; 3: 2,51-3,50; 4: &gt;3,50.</t>
  </si>
  <si>
    <t>Anomalia foglio Codifica</t>
  </si>
  <si>
    <t>Il file Prova chat 2.0.xlsx non contiene un foglio denominato “Codifica”; le regole sono state lette dalle colonne F-H del foglio Dataset_Qualtrics e dal prompt utente.</t>
  </si>
  <si>
    <t>Anomalia PQ19</t>
  </si>
  <si>
    <t>PQ19 non ha peso PMI/GRANDI valorizzato in Prova chat 2.0; esclusa dal calcolo ponderato.</t>
  </si>
  <si>
    <t>Formula reporting</t>
  </si>
  <si>
    <t>Lo score reporting in Calcoli matrice C usa SUMIF sulla chiave Azienda|Tema per mantenere valori interi 1-4 e tracciabili.</t>
  </si>
  <si>
    <t>Anomalia MQ18</t>
  </si>
  <si>
    <t>MQ18 è presente nel file survey ma non nella mappatura Prova chat 2.0; esclusa.</t>
  </si>
  <si>
    <t>Codice tema</t>
  </si>
  <si>
    <t>Risposta finale</t>
  </si>
  <si>
    <t>non serve</t>
  </si>
  <si>
    <t>esempio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</si>
</sst>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1"/>
      <color theme="1"/>
      <name val="Calibri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i/>
      <sz val="10"/>
      <color rgb="FF666666"/>
      <name val="Calibri"/>
      <family val="2"/>
    </font>
    <font>
      <b/>
      <sz val="14"/>
      <color rgb="FFFFFFFF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</font>
    <font>
      <sz val="9"/>
      <color indexed="81"/>
      <name val="Tahoma"/>
      <family val="2"/>
    </font>
    <font>
      <sz val="1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7E6E6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E2F0D9"/>
      </patternFill>
    </fill>
    <fill>
      <patternFill patternType="solid">
        <fgColor rgb="FFFFFFFF"/>
      </patternFill>
    </fill>
    <fill>
      <patternFill patternType="solid">
        <fgColor rgb="FFD9EAF7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1F4E78"/>
      </bottom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2">
    <xf numFmtId="0" fontId="0" fillId="0" borderId="0"/>
    <xf numFmtId="0" fontId="7" fillId="0" borderId="0"/>
  </cellStyleXfs>
  <cellXfs count="43">
    <xf numFmtId="0" fontId="0" fillId="0" borderId="0" xfId="0"/>
    <xf numFmtId="0" fontId="2" fillId="0" borderId="0" xfId="1" applyFont="1" applyAlignment="1">
      <alignment vertical="top" wrapText="1"/>
    </xf>
    <xf numFmtId="0" fontId="6" fillId="4" borderId="0" xfId="1" applyFont="1" applyFill="1" applyAlignment="1">
      <alignment vertical="top" wrapText="1"/>
    </xf>
    <xf numFmtId="0" fontId="2" fillId="7" borderId="0" xfId="1" applyFont="1" applyFill="1" applyAlignment="1">
      <alignment vertical="top" wrapText="1"/>
    </xf>
    <xf numFmtId="0" fontId="1" fillId="3" borderId="2" xfId="1" applyFont="1" applyFill="1" applyBorder="1" applyAlignment="1">
      <alignment vertical="top" wrapText="1"/>
    </xf>
    <xf numFmtId="0" fontId="2" fillId="7" borderId="2" xfId="1" applyFont="1" applyFill="1" applyBorder="1" applyAlignment="1">
      <alignment vertical="top" wrapText="1"/>
    </xf>
    <xf numFmtId="2" fontId="2" fillId="7" borderId="2" xfId="1" applyNumberFormat="1" applyFont="1" applyFill="1" applyBorder="1" applyAlignment="1">
      <alignment vertical="top" wrapText="1"/>
    </xf>
    <xf numFmtId="0" fontId="2" fillId="8" borderId="2" xfId="1" applyFont="1" applyFill="1" applyBorder="1" applyAlignment="1">
      <alignment vertical="top" wrapText="1"/>
    </xf>
    <xf numFmtId="0" fontId="2" fillId="5" borderId="2" xfId="1" applyFont="1" applyFill="1" applyBorder="1" applyAlignment="1">
      <alignment vertical="top" wrapText="1"/>
    </xf>
    <xf numFmtId="0" fontId="2" fillId="0" borderId="2" xfId="1" applyFont="1" applyBorder="1" applyAlignment="1">
      <alignment vertical="top" wrapText="1"/>
    </xf>
    <xf numFmtId="164" fontId="2" fillId="0" borderId="2" xfId="1" applyNumberFormat="1" applyFont="1" applyBorder="1" applyAlignment="1">
      <alignment vertical="top" wrapText="1"/>
    </xf>
    <xf numFmtId="0" fontId="2" fillId="5" borderId="0" xfId="1" applyFont="1" applyFill="1" applyAlignment="1">
      <alignment vertical="top" wrapText="1"/>
    </xf>
    <xf numFmtId="1" fontId="2" fillId="7" borderId="2" xfId="1" applyNumberFormat="1" applyFont="1" applyFill="1" applyBorder="1" applyAlignment="1">
      <alignment vertical="top" wrapText="1"/>
    </xf>
    <xf numFmtId="164" fontId="2" fillId="8" borderId="2" xfId="1" applyNumberFormat="1" applyFont="1" applyFill="1" applyBorder="1" applyAlignment="1">
      <alignment vertical="top" wrapText="1"/>
    </xf>
    <xf numFmtId="164" fontId="2" fillId="7" borderId="2" xfId="1" applyNumberFormat="1" applyFont="1" applyFill="1" applyBorder="1" applyAlignment="1">
      <alignment vertical="top" wrapText="1"/>
    </xf>
    <xf numFmtId="0" fontId="2" fillId="4" borderId="0" xfId="1" applyFont="1" applyFill="1" applyAlignment="1">
      <alignment vertical="top" wrapText="1"/>
    </xf>
    <xf numFmtId="0" fontId="2" fillId="9" borderId="0" xfId="1" applyFont="1" applyFill="1" applyAlignment="1">
      <alignment vertical="top" wrapText="1"/>
    </xf>
    <xf numFmtId="0" fontId="2" fillId="4" borderId="2" xfId="1" applyFont="1" applyFill="1" applyBorder="1" applyAlignment="1">
      <alignment vertical="top" wrapText="1"/>
    </xf>
    <xf numFmtId="0" fontId="2" fillId="8" borderId="0" xfId="1" applyFont="1" applyFill="1" applyAlignment="1">
      <alignment vertical="top" wrapText="1"/>
    </xf>
    <xf numFmtId="0" fontId="6" fillId="3" borderId="0" xfId="1" applyFont="1" applyFill="1" applyAlignment="1">
      <alignment horizontal="center" vertical="top" wrapText="1"/>
    </xf>
    <xf numFmtId="0" fontId="6" fillId="5" borderId="3" xfId="1" applyFont="1" applyFill="1" applyBorder="1" applyAlignment="1">
      <alignment horizontal="left" vertical="top" wrapText="1"/>
    </xf>
    <xf numFmtId="0" fontId="6" fillId="7" borderId="3" xfId="1" applyFont="1" applyFill="1" applyBorder="1" applyAlignment="1">
      <alignment horizontal="left" vertical="top" wrapText="1"/>
    </xf>
    <xf numFmtId="0" fontId="6" fillId="10" borderId="3" xfId="1" applyFont="1" applyFill="1" applyBorder="1" applyAlignment="1">
      <alignment horizontal="left" vertical="top" wrapText="1"/>
    </xf>
    <xf numFmtId="0" fontId="6" fillId="11" borderId="3" xfId="1" applyFont="1" applyFill="1" applyBorder="1" applyAlignment="1">
      <alignment horizontal="left" vertical="top" wrapText="1"/>
    </xf>
    <xf numFmtId="0" fontId="1" fillId="3" borderId="1" xfId="1" applyFont="1" applyFill="1" applyBorder="1" applyAlignment="1">
      <alignment horizontal="center" vertical="top" wrapText="1"/>
    </xf>
    <xf numFmtId="164" fontId="2" fillId="0" borderId="0" xfId="1" applyNumberFormat="1" applyFont="1" applyAlignment="1">
      <alignment vertical="top" wrapText="1"/>
    </xf>
    <xf numFmtId="0" fontId="2" fillId="6" borderId="2" xfId="1" applyFont="1" applyFill="1" applyBorder="1" applyAlignment="1">
      <alignment vertical="top" wrapText="1"/>
    </xf>
    <xf numFmtId="164" fontId="0" fillId="0" borderId="0" xfId="0" applyNumberFormat="1"/>
    <xf numFmtId="0" fontId="3" fillId="0" borderId="0" xfId="1" applyFont="1" applyAlignment="1">
      <alignment vertical="top" wrapText="1"/>
    </xf>
    <xf numFmtId="0" fontId="0" fillId="0" borderId="0" xfId="0"/>
    <xf numFmtId="0" fontId="4" fillId="2" borderId="0" xfId="1" applyFont="1" applyFill="1" applyAlignment="1">
      <alignment vertical="center"/>
    </xf>
    <xf numFmtId="0" fontId="5" fillId="2" borderId="0" xfId="1" applyFont="1" applyFill="1" applyAlignment="1">
      <alignment vertical="top" wrapText="1"/>
    </xf>
    <xf numFmtId="0" fontId="3" fillId="4" borderId="4" xfId="1" applyFont="1" applyFill="1" applyBorder="1" applyAlignment="1">
      <alignment vertical="top" wrapText="1"/>
    </xf>
    <xf numFmtId="0" fontId="0" fillId="0" borderId="5" xfId="1" applyFont="1" applyBorder="1"/>
    <xf numFmtId="0" fontId="4" fillId="3" borderId="4" xfId="1" applyFont="1" applyFill="1" applyBorder="1" applyAlignment="1">
      <alignment vertical="center"/>
    </xf>
    <xf numFmtId="0" fontId="1" fillId="12" borderId="2" xfId="1" applyFont="1" applyFill="1" applyBorder="1" applyAlignment="1">
      <alignment vertical="top" wrapText="1"/>
    </xf>
    <xf numFmtId="0" fontId="2" fillId="13" borderId="2" xfId="1" applyFont="1" applyFill="1" applyBorder="1" applyAlignment="1">
      <alignment vertical="top" wrapText="1"/>
    </xf>
    <xf numFmtId="0" fontId="9" fillId="13" borderId="2" xfId="1" applyFont="1" applyFill="1" applyBorder="1" applyAlignment="1">
      <alignment vertical="top" wrapText="1"/>
    </xf>
    <xf numFmtId="0" fontId="1" fillId="3" borderId="5" xfId="1" applyFont="1" applyFill="1" applyBorder="1" applyAlignment="1">
      <alignment vertical="top" wrapText="1"/>
    </xf>
    <xf numFmtId="164" fontId="2" fillId="8" borderId="5" xfId="1" applyNumberFormat="1" applyFont="1" applyFill="1" applyBorder="1" applyAlignment="1">
      <alignment vertical="top" wrapText="1"/>
    </xf>
    <xf numFmtId="0" fontId="2" fillId="13" borderId="0" xfId="1" applyFont="1" applyFill="1" applyAlignment="1">
      <alignment vertical="top" wrapText="1"/>
    </xf>
    <xf numFmtId="0" fontId="1" fillId="13" borderId="2" xfId="1" applyFont="1" applyFill="1" applyBorder="1" applyAlignment="1">
      <alignment vertical="top" wrapText="1"/>
    </xf>
    <xf numFmtId="164" fontId="2" fillId="13" borderId="2" xfId="1" applyNumberFormat="1" applyFont="1" applyFill="1" applyBorder="1" applyAlignment="1">
      <alignment horizontal="center" vertical="top" wrapText="1"/>
    </xf>
  </cellXfs>
  <cellStyles count="2">
    <cellStyle name="Normal" xfId="1" xr:uid="{00000000-0005-0000-0000-000000000000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c:style val="2"/>
  <c:chart>
    <c:title>
      <c:tx>
        <c:rich>
          <a:bodyPr/>
          <a:lstStyle/>
          <a:p>
            <a:r>
              <a:rPr lang="it-IT"/>
              <a:t>Matrice di trasparenza - temi reporting</a:t>
            </a:r>
          </a:p>
        </c:rich>
      </c:tx>
      <c:overlay val="0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Temi</c:v>
          </c:tx>
          <c:spPr>
            <a:ln>
              <a:noFill/>
              <a:prstDash val="solid"/>
            </a:ln>
          </c:spPr>
          <c:marker>
            <c:symbol val="circle"/>
            <c:size val="6"/>
          </c:marker>
          <c:xVal>
            <c:numRef>
              <c:f>'Matrice trasparenza'!$I$16:$I$25</c:f>
              <c:numCache>
                <c:formatCode>0.0000</c:formatCode>
                <c:ptCount val="10"/>
                <c:pt idx="0">
                  <c:v>1.860215053763441</c:v>
                </c:pt>
                <c:pt idx="1">
                  <c:v>2.558510638297872</c:v>
                </c:pt>
                <c:pt idx="2">
                  <c:v>2.045454545454545</c:v>
                </c:pt>
                <c:pt idx="3">
                  <c:v>2.0178571428571428</c:v>
                </c:pt>
                <c:pt idx="4">
                  <c:v>1.812206572769953</c:v>
                </c:pt>
                <c:pt idx="5">
                  <c:v>1.6865671641791049</c:v>
                </c:pt>
                <c:pt idx="6">
                  <c:v>1.7565217391304351</c:v>
                </c:pt>
                <c:pt idx="7">
                  <c:v>2</c:v>
                </c:pt>
                <c:pt idx="8">
                  <c:v>4</c:v>
                </c:pt>
                <c:pt idx="9">
                  <c:v>2.248847926267282</c:v>
                </c:pt>
              </c:numCache>
            </c:numRef>
          </c:xVal>
          <c:yVal>
            <c:numRef>
              <c:f>'Matrice trasparenza'!$J$16:$J$25</c:f>
              <c:numCache>
                <c:formatCode>0.0000</c:formatCode>
                <c:ptCount val="1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101-374B-9D4A-44B831065418}"/>
            </c:ext>
          </c:extLst>
        </c:ser>
        <c:ser>
          <c:idx val="1"/>
          <c:order val="1"/>
          <c:tx>
            <c:v>Soglia X=2,50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'Matrice trasparenza'!$I$28:$I$29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xVal>
          <c:yVal>
            <c:numRef>
              <c:f>'Matrice trasparenza'!$J$28:$J$29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101-374B-9D4A-44B831065418}"/>
            </c:ext>
          </c:extLst>
        </c:ser>
        <c:ser>
          <c:idx val="2"/>
          <c:order val="2"/>
          <c:tx>
            <c:v>Soglia Y=2,50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'Matrice trasparenza'!$M$28:$M$29</c:f>
              <c:numCache>
                <c:formatCode>General</c:formatCode>
                <c:ptCount val="2"/>
                <c:pt idx="0">
                  <c:v>1</c:v>
                </c:pt>
                <c:pt idx="1">
                  <c:v>4</c:v>
                </c:pt>
              </c:numCache>
            </c:numRef>
          </c:xVal>
          <c:yVal>
            <c:numRef>
              <c:f>'Matrice trasparenza'!$N$28:$N$29</c:f>
              <c:numCache>
                <c:formatCode>General</c:formatCode>
                <c:ptCount val="2"/>
                <c:pt idx="0">
                  <c:v>2.5</c:v>
                </c:pt>
                <c:pt idx="1">
                  <c:v>2.5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101-374B-9D4A-44B8310654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650112"/>
        <c:axId val="48672768"/>
      </c:scatterChart>
      <c:valAx>
        <c:axId val="48672768"/>
        <c:scaling>
          <c:orientation val="minMax"/>
          <c:max val="4"/>
          <c:min val="1"/>
        </c:scaling>
        <c:delete val="0"/>
        <c:axPos val="l"/>
        <c:numFmt formatCode="0.0000" sourceLinked="1"/>
        <c:majorTickMark val="none"/>
        <c:minorTickMark val="none"/>
        <c:tickLblPos val="nextTo"/>
        <c:crossAx val="48650112"/>
        <c:crosses val="autoZero"/>
        <c:crossBetween val="midCat"/>
      </c:valAx>
      <c:valAx>
        <c:axId val="48650112"/>
        <c:scaling>
          <c:orientation val="minMax"/>
        </c:scaling>
        <c:delete val="0"/>
        <c:axPos val="b"/>
        <c:numFmt formatCode="0.0000" sourceLinked="1"/>
        <c:majorTickMark val="none"/>
        <c:minorTickMark val="none"/>
        <c:tickLblPos val="nextTo"/>
        <c:crossAx val="48672768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203200</xdr:colOff>
      <xdr:row>63</xdr:row>
      <xdr:rowOff>12700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D24840D4-0B2B-962F-AD29-B6C2D58BC06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</xdr:row>
      <xdr:rowOff>0</xdr:rowOff>
    </xdr:from>
    <xdr:ext cx="5760000" cy="3600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aniele Grotti - Docente" id="{1A389D99-E602-4503-A687-6FAE00569B90}" userId="S::Daniele.Grotti@ifoadocenti.it::6e796910-1942-4915-bc6c-45b2a47d9ac4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4" dT="2026-08-07T13:43:42.74" personId="{1A389D99-E602-4503-A687-6FAE00569B90}" id="{56E389CB-944F-4226-BD5B-DD83A890423F}">
    <text xml:space="preserve">Servono a Giorgia
</text>
  </threadedComment>
  <threadedComment ref="F5" dT="2026-08-07T13:44:25.80" personId="{1A389D99-E602-4503-A687-6FAE00569B90}" id="{7B578F8A-195A-41F7-B64A-A834FEA01D5B}">
    <text xml:space="preserve">Mat non va utilizzata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"/>
  <sheetViews>
    <sheetView showGridLines="0" zoomScale="140" zoomScaleNormal="140" workbookViewId="0">
      <selection sqref="A1:H1"/>
    </sheetView>
  </sheetViews>
  <sheetFormatPr defaultColWidth="8.84375" defaultRowHeight="14.6" x14ac:dyDescent="0.4"/>
  <cols>
    <col min="1" max="1" width="18" customWidth="1"/>
    <col min="2" max="2" width="90" customWidth="1"/>
    <col min="3" max="3" width="16" customWidth="1"/>
    <col min="4" max="4" width="22" customWidth="1"/>
    <col min="5" max="5" width="42" customWidth="1"/>
  </cols>
  <sheetData>
    <row r="1" spans="1:8" ht="24" customHeight="1" x14ac:dyDescent="0.4">
      <c r="A1" s="30" t="s">
        <v>0</v>
      </c>
      <c r="B1" s="29"/>
      <c r="C1" s="29"/>
      <c r="D1" s="29"/>
      <c r="E1" s="29"/>
      <c r="F1" s="29"/>
      <c r="G1" s="29"/>
      <c r="H1" s="29"/>
    </row>
    <row r="2" spans="1:8" x14ac:dyDescent="0.4">
      <c r="A2" s="28" t="s">
        <v>1</v>
      </c>
      <c r="B2" s="29"/>
      <c r="C2" s="29"/>
      <c r="D2" s="29"/>
      <c r="E2" s="29"/>
      <c r="F2" s="29"/>
      <c r="G2" s="29"/>
      <c r="H2" s="29"/>
    </row>
    <row r="3" spans="1:8" x14ac:dyDescent="0.4">
      <c r="A3" s="2" t="s">
        <v>2</v>
      </c>
      <c r="B3" s="3" t="s">
        <v>3</v>
      </c>
      <c r="C3" s="1"/>
      <c r="D3" s="1"/>
      <c r="E3" s="1"/>
      <c r="F3" s="1"/>
      <c r="G3" s="1"/>
      <c r="H3" s="1"/>
    </row>
    <row r="4" spans="1:8" x14ac:dyDescent="0.4">
      <c r="A4" s="2" t="s">
        <v>4</v>
      </c>
      <c r="B4" s="3" t="s">
        <v>5</v>
      </c>
      <c r="C4" s="1"/>
      <c r="D4" s="1"/>
      <c r="E4" s="1"/>
      <c r="F4" s="1"/>
      <c r="G4" s="1"/>
      <c r="H4" s="1"/>
    </row>
    <row r="5" spans="1:8" ht="25.75" x14ac:dyDescent="0.4">
      <c r="A5" s="2" t="s">
        <v>6</v>
      </c>
      <c r="B5" s="3">
        <v>3</v>
      </c>
      <c r="C5" s="1"/>
      <c r="D5" s="1"/>
      <c r="E5" s="1"/>
      <c r="F5" s="1"/>
      <c r="G5" s="1"/>
      <c r="H5" s="1"/>
    </row>
    <row r="6" spans="1:8" x14ac:dyDescent="0.4">
      <c r="A6" s="2" t="s">
        <v>7</v>
      </c>
      <c r="B6" s="3" t="s">
        <v>8</v>
      </c>
      <c r="C6" s="1"/>
      <c r="D6" s="1"/>
      <c r="E6" s="1"/>
      <c r="F6" s="1"/>
      <c r="G6" s="1"/>
      <c r="H6" s="1"/>
    </row>
    <row r="7" spans="1:8" x14ac:dyDescent="0.4">
      <c r="A7" s="2" t="s">
        <v>9</v>
      </c>
      <c r="B7" s="3" t="s">
        <v>10</v>
      </c>
      <c r="C7" s="1"/>
      <c r="D7" s="1"/>
      <c r="E7" s="1"/>
      <c r="F7" s="1"/>
      <c r="G7" s="1"/>
      <c r="H7" s="1"/>
    </row>
    <row r="8" spans="1:8" ht="25.75" x14ac:dyDescent="0.4">
      <c r="A8" s="2" t="s">
        <v>11</v>
      </c>
      <c r="B8" s="3" t="s">
        <v>12</v>
      </c>
      <c r="C8" s="1"/>
      <c r="D8" s="1"/>
      <c r="E8" s="1"/>
      <c r="F8" s="1"/>
      <c r="G8" s="1"/>
      <c r="H8" s="1"/>
    </row>
    <row r="9" spans="1:8" x14ac:dyDescent="0.4">
      <c r="A9" s="1"/>
      <c r="B9" s="1"/>
      <c r="C9" s="1"/>
      <c r="D9" s="1"/>
      <c r="E9" s="1"/>
      <c r="F9" s="1"/>
      <c r="G9" s="1"/>
      <c r="H9" s="1"/>
    </row>
    <row r="10" spans="1:8" x14ac:dyDescent="0.4">
      <c r="A10" s="1"/>
      <c r="B10" s="1"/>
      <c r="C10" s="1"/>
      <c r="D10" s="1"/>
      <c r="E10" s="1"/>
      <c r="F10" s="1"/>
      <c r="G10" s="1"/>
      <c r="H10" s="1"/>
    </row>
    <row r="11" spans="1:8" x14ac:dyDescent="0.4">
      <c r="A11" s="4" t="s">
        <v>13</v>
      </c>
      <c r="B11" s="4" t="s">
        <v>14</v>
      </c>
      <c r="C11" s="4" t="s">
        <v>15</v>
      </c>
      <c r="D11" s="4" t="s">
        <v>16</v>
      </c>
      <c r="E11" s="4" t="s">
        <v>17</v>
      </c>
      <c r="F11" s="1"/>
      <c r="G11" s="1"/>
      <c r="H11" s="1"/>
    </row>
    <row r="12" spans="1:8" x14ac:dyDescent="0.4">
      <c r="A12" s="5" t="s">
        <v>18</v>
      </c>
      <c r="B12" s="5" t="s">
        <v>19</v>
      </c>
      <c r="C12" s="6">
        <v>3</v>
      </c>
      <c r="D12" s="7" t="s">
        <v>20</v>
      </c>
      <c r="E12" s="7" t="s">
        <v>21</v>
      </c>
      <c r="F12" s="1"/>
      <c r="G12" s="1"/>
      <c r="H12" s="1"/>
    </row>
    <row r="13" spans="1:8" x14ac:dyDescent="0.4">
      <c r="A13" s="5" t="s">
        <v>22</v>
      </c>
      <c r="B13" s="5" t="s">
        <v>23</v>
      </c>
      <c r="C13" s="6">
        <v>1</v>
      </c>
      <c r="D13" s="7" t="s">
        <v>20</v>
      </c>
      <c r="E13" s="7" t="s">
        <v>21</v>
      </c>
      <c r="F13" s="1"/>
      <c r="G13" s="1"/>
      <c r="H13" s="1"/>
    </row>
    <row r="14" spans="1:8" ht="25.75" x14ac:dyDescent="0.4">
      <c r="A14" s="5" t="s">
        <v>24</v>
      </c>
      <c r="B14" s="5" t="s">
        <v>25</v>
      </c>
      <c r="C14" s="6">
        <v>3</v>
      </c>
      <c r="D14" s="7" t="s">
        <v>20</v>
      </c>
      <c r="E14" s="7" t="s">
        <v>21</v>
      </c>
      <c r="F14" s="1"/>
      <c r="G14" s="1"/>
      <c r="H14" s="1"/>
    </row>
    <row r="15" spans="1:8" ht="25.75" x14ac:dyDescent="0.4">
      <c r="A15" s="5" t="s">
        <v>26</v>
      </c>
      <c r="B15" s="5" t="s">
        <v>27</v>
      </c>
      <c r="C15" s="6">
        <v>2</v>
      </c>
      <c r="D15" s="7" t="s">
        <v>20</v>
      </c>
      <c r="E15" s="7" t="s">
        <v>21</v>
      </c>
      <c r="F15" s="1"/>
      <c r="G15" s="1"/>
      <c r="H15" s="1"/>
    </row>
    <row r="16" spans="1:8" x14ac:dyDescent="0.4">
      <c r="A16" s="5" t="s">
        <v>28</v>
      </c>
      <c r="B16" s="5" t="s">
        <v>29</v>
      </c>
      <c r="C16" s="6">
        <v>4</v>
      </c>
      <c r="D16" s="7" t="s">
        <v>20</v>
      </c>
      <c r="E16" s="7" t="s">
        <v>21</v>
      </c>
      <c r="F16" s="1"/>
      <c r="G16" s="1"/>
      <c r="H16" s="1"/>
    </row>
    <row r="17" spans="1:8" x14ac:dyDescent="0.4">
      <c r="A17" s="5" t="s">
        <v>30</v>
      </c>
      <c r="B17" s="5" t="s">
        <v>31</v>
      </c>
      <c r="C17" s="6">
        <v>2</v>
      </c>
      <c r="D17" s="7" t="s">
        <v>20</v>
      </c>
      <c r="E17" s="7" t="s">
        <v>21</v>
      </c>
      <c r="F17" s="1"/>
      <c r="G17" s="1"/>
      <c r="H17" s="1"/>
    </row>
    <row r="18" spans="1:8" x14ac:dyDescent="0.4">
      <c r="A18" s="5" t="s">
        <v>32</v>
      </c>
      <c r="B18" s="5" t="s">
        <v>33</v>
      </c>
      <c r="C18" s="6">
        <v>2</v>
      </c>
      <c r="D18" s="7" t="s">
        <v>20</v>
      </c>
      <c r="E18" s="7" t="s">
        <v>21</v>
      </c>
      <c r="F18" s="1"/>
      <c r="G18" s="1"/>
      <c r="H18" s="1"/>
    </row>
    <row r="19" spans="1:8" x14ac:dyDescent="0.4">
      <c r="A19" s="5" t="s">
        <v>34</v>
      </c>
      <c r="B19" s="5" t="s">
        <v>35</v>
      </c>
      <c r="C19" s="6">
        <v>3</v>
      </c>
      <c r="D19" s="7" t="s">
        <v>20</v>
      </c>
      <c r="E19" s="7" t="s">
        <v>21</v>
      </c>
      <c r="F19" s="1"/>
      <c r="G19" s="1"/>
      <c r="H19" s="1"/>
    </row>
    <row r="20" spans="1:8" x14ac:dyDescent="0.4">
      <c r="A20" s="5" t="s">
        <v>36</v>
      </c>
      <c r="B20" s="5" t="s">
        <v>37</v>
      </c>
      <c r="C20" s="6">
        <v>1</v>
      </c>
      <c r="D20" s="7" t="s">
        <v>20</v>
      </c>
      <c r="E20" s="7" t="s">
        <v>21</v>
      </c>
      <c r="F20" s="1"/>
      <c r="G20" s="1"/>
      <c r="H20" s="1"/>
    </row>
    <row r="21" spans="1:8" ht="25.75" x14ac:dyDescent="0.4">
      <c r="A21" s="5" t="s">
        <v>38</v>
      </c>
      <c r="B21" s="5" t="s">
        <v>39</v>
      </c>
      <c r="C21" s="6">
        <v>2</v>
      </c>
      <c r="D21" s="7" t="s">
        <v>20</v>
      </c>
      <c r="E21" s="7" t="s">
        <v>21</v>
      </c>
      <c r="F21" s="1"/>
      <c r="G21" s="1"/>
      <c r="H21" s="1"/>
    </row>
    <row r="22" spans="1:8" x14ac:dyDescent="0.4">
      <c r="A22" s="5" t="s">
        <v>40</v>
      </c>
      <c r="B22" s="5" t="s">
        <v>41</v>
      </c>
      <c r="C22" s="6">
        <v>2</v>
      </c>
      <c r="D22" s="7" t="s">
        <v>20</v>
      </c>
      <c r="E22" s="7" t="s">
        <v>21</v>
      </c>
      <c r="F22" s="1"/>
      <c r="G22" s="1"/>
      <c r="H22" s="1"/>
    </row>
    <row r="23" spans="1:8" ht="25.75" x14ac:dyDescent="0.4">
      <c r="A23" s="5" t="s">
        <v>42</v>
      </c>
      <c r="B23" s="5" t="s">
        <v>43</v>
      </c>
      <c r="C23" s="6">
        <v>1</v>
      </c>
      <c r="D23" s="7" t="s">
        <v>20</v>
      </c>
      <c r="E23" s="7" t="s">
        <v>21</v>
      </c>
      <c r="F23" s="1"/>
      <c r="G23" s="1"/>
      <c r="H23" s="1"/>
    </row>
    <row r="24" spans="1:8" x14ac:dyDescent="0.4">
      <c r="A24" s="5" t="s">
        <v>44</v>
      </c>
      <c r="B24" s="5" t="s">
        <v>45</v>
      </c>
      <c r="C24" s="6">
        <v>2</v>
      </c>
      <c r="D24" s="7" t="s">
        <v>20</v>
      </c>
      <c r="E24" s="7" t="s">
        <v>21</v>
      </c>
      <c r="F24" s="1"/>
      <c r="G24" s="1"/>
      <c r="H24" s="1"/>
    </row>
    <row r="25" spans="1:8" ht="25.75" x14ac:dyDescent="0.4">
      <c r="A25" s="5" t="s">
        <v>46</v>
      </c>
      <c r="B25" s="5" t="s">
        <v>47</v>
      </c>
      <c r="C25" s="6">
        <v>4</v>
      </c>
      <c r="D25" s="7" t="s">
        <v>20</v>
      </c>
      <c r="E25" s="7" t="s">
        <v>21</v>
      </c>
      <c r="F25" s="1"/>
      <c r="G25" s="1"/>
      <c r="H25" s="1"/>
    </row>
    <row r="26" spans="1:8" x14ac:dyDescent="0.4">
      <c r="A26" s="5" t="s">
        <v>48</v>
      </c>
      <c r="B26" s="5" t="s">
        <v>49</v>
      </c>
      <c r="C26" s="6">
        <v>3</v>
      </c>
      <c r="D26" s="7" t="s">
        <v>20</v>
      </c>
      <c r="E26" s="7" t="s">
        <v>21</v>
      </c>
      <c r="F26" s="1"/>
      <c r="G26" s="1"/>
      <c r="H26" s="1"/>
    </row>
    <row r="27" spans="1:8" x14ac:dyDescent="0.4">
      <c r="A27" s="5" t="s">
        <v>50</v>
      </c>
      <c r="B27" s="5" t="s">
        <v>51</v>
      </c>
      <c r="C27" s="6">
        <v>2</v>
      </c>
      <c r="D27" s="7" t="s">
        <v>20</v>
      </c>
      <c r="E27" s="7" t="s">
        <v>21</v>
      </c>
      <c r="F27" s="1"/>
      <c r="G27" s="1"/>
      <c r="H27" s="1"/>
    </row>
    <row r="28" spans="1:8" x14ac:dyDescent="0.4">
      <c r="A28" s="5" t="s">
        <v>52</v>
      </c>
      <c r="B28" s="5" t="s">
        <v>53</v>
      </c>
      <c r="C28" s="6">
        <v>2</v>
      </c>
      <c r="D28" s="7" t="s">
        <v>20</v>
      </c>
      <c r="E28" s="7" t="s">
        <v>21</v>
      </c>
      <c r="F28" s="1"/>
      <c r="G28" s="1"/>
      <c r="H28" s="1"/>
    </row>
    <row r="29" spans="1:8" x14ac:dyDescent="0.4">
      <c r="A29" s="5" t="s">
        <v>54</v>
      </c>
      <c r="B29" s="5" t="s">
        <v>55</v>
      </c>
      <c r="C29" s="6">
        <v>2</v>
      </c>
      <c r="D29" s="7" t="s">
        <v>20</v>
      </c>
      <c r="E29" s="7" t="s">
        <v>21</v>
      </c>
      <c r="F29" s="1"/>
      <c r="G29" s="1"/>
      <c r="H29" s="1"/>
    </row>
    <row r="30" spans="1:8" x14ac:dyDescent="0.4">
      <c r="A30" s="5" t="s">
        <v>56</v>
      </c>
      <c r="B30" s="5" t="s">
        <v>57</v>
      </c>
      <c r="C30" s="6">
        <v>2</v>
      </c>
      <c r="D30" s="7" t="s">
        <v>20</v>
      </c>
      <c r="E30" s="7" t="s">
        <v>21</v>
      </c>
      <c r="F30" s="1"/>
      <c r="G30" s="1"/>
      <c r="H30" s="1"/>
    </row>
    <row r="31" spans="1:8" ht="25.75" x14ac:dyDescent="0.4">
      <c r="A31" s="5" t="s">
        <v>58</v>
      </c>
      <c r="B31" s="5" t="s">
        <v>59</v>
      </c>
      <c r="C31" s="6">
        <v>2</v>
      </c>
      <c r="D31" s="7" t="s">
        <v>20</v>
      </c>
      <c r="E31" s="7" t="s">
        <v>21</v>
      </c>
      <c r="F31" s="1"/>
      <c r="G31" s="1"/>
      <c r="H31" s="1"/>
    </row>
    <row r="32" spans="1:8" ht="25.75" x14ac:dyDescent="0.4">
      <c r="A32" s="5" t="s">
        <v>60</v>
      </c>
      <c r="B32" s="5" t="s">
        <v>61</v>
      </c>
      <c r="C32" s="6">
        <v>2</v>
      </c>
      <c r="D32" s="7" t="s">
        <v>20</v>
      </c>
      <c r="E32" s="7" t="s">
        <v>21</v>
      </c>
      <c r="F32" s="1"/>
      <c r="G32" s="1"/>
      <c r="H32" s="1"/>
    </row>
    <row r="33" spans="1:8" ht="25.75" x14ac:dyDescent="0.4">
      <c r="A33" s="5" t="s">
        <v>62</v>
      </c>
      <c r="B33" s="5" t="s">
        <v>63</v>
      </c>
      <c r="C33" s="6">
        <v>1</v>
      </c>
      <c r="D33" s="7" t="s">
        <v>20</v>
      </c>
      <c r="E33" s="7" t="s">
        <v>21</v>
      </c>
      <c r="F33" s="1"/>
      <c r="G33" s="1"/>
      <c r="H33" s="1"/>
    </row>
    <row r="34" spans="1:8" x14ac:dyDescent="0.4">
      <c r="A34" s="5" t="s">
        <v>64</v>
      </c>
      <c r="B34" s="5" t="s">
        <v>65</v>
      </c>
      <c r="C34" s="6">
        <v>1</v>
      </c>
      <c r="D34" s="7" t="s">
        <v>20</v>
      </c>
      <c r="E34" s="7" t="s">
        <v>21</v>
      </c>
      <c r="F34" s="1"/>
      <c r="G34" s="1"/>
      <c r="H34" s="1"/>
    </row>
    <row r="35" spans="1:8" x14ac:dyDescent="0.4">
      <c r="A35" s="5" t="s">
        <v>66</v>
      </c>
      <c r="B35" s="5" t="s">
        <v>67</v>
      </c>
      <c r="C35" s="6">
        <v>2</v>
      </c>
      <c r="D35" s="7" t="s">
        <v>20</v>
      </c>
      <c r="E35" s="7" t="s">
        <v>21</v>
      </c>
      <c r="F35" s="1"/>
      <c r="G35" s="1"/>
      <c r="H35" s="1"/>
    </row>
    <row r="36" spans="1:8" x14ac:dyDescent="0.4">
      <c r="A36" s="5" t="s">
        <v>68</v>
      </c>
      <c r="B36" s="5" t="s">
        <v>69</v>
      </c>
      <c r="C36" s="6">
        <v>2</v>
      </c>
      <c r="D36" s="7" t="s">
        <v>20</v>
      </c>
      <c r="E36" s="7" t="s">
        <v>21</v>
      </c>
      <c r="F36" s="1"/>
      <c r="G36" s="1"/>
      <c r="H36" s="1"/>
    </row>
    <row r="37" spans="1:8" x14ac:dyDescent="0.4">
      <c r="A37" s="5" t="s">
        <v>70</v>
      </c>
      <c r="B37" s="5" t="s">
        <v>71</v>
      </c>
      <c r="C37" s="6">
        <v>2</v>
      </c>
      <c r="D37" s="7" t="s">
        <v>20</v>
      </c>
      <c r="E37" s="7" t="s">
        <v>21</v>
      </c>
      <c r="F37" s="1"/>
      <c r="G37" s="1"/>
      <c r="H37" s="1"/>
    </row>
    <row r="38" spans="1:8" ht="25.75" x14ac:dyDescent="0.4">
      <c r="A38" s="5" t="s">
        <v>72</v>
      </c>
      <c r="B38" s="5" t="s">
        <v>73</v>
      </c>
      <c r="C38" s="6">
        <v>1</v>
      </c>
      <c r="D38" s="7" t="s">
        <v>20</v>
      </c>
      <c r="E38" s="7" t="s">
        <v>21</v>
      </c>
      <c r="F38" s="1"/>
      <c r="G38" s="1"/>
      <c r="H38" s="1"/>
    </row>
    <row r="39" spans="1:8" ht="25.75" x14ac:dyDescent="0.4">
      <c r="A39" s="5" t="s">
        <v>74</v>
      </c>
      <c r="B39" s="5" t="s">
        <v>75</v>
      </c>
      <c r="C39" s="6">
        <v>2</v>
      </c>
      <c r="D39" s="7" t="s">
        <v>20</v>
      </c>
      <c r="E39" s="7" t="s">
        <v>21</v>
      </c>
      <c r="F39" s="1"/>
      <c r="G39" s="1"/>
      <c r="H39" s="1"/>
    </row>
    <row r="40" spans="1:8" ht="25.75" x14ac:dyDescent="0.4">
      <c r="A40" s="5" t="s">
        <v>76</v>
      </c>
      <c r="B40" s="5" t="s">
        <v>77</v>
      </c>
      <c r="C40" s="6">
        <v>2</v>
      </c>
      <c r="D40" s="7" t="s">
        <v>20</v>
      </c>
      <c r="E40" s="7" t="s">
        <v>21</v>
      </c>
      <c r="F40" s="1"/>
      <c r="G40" s="1"/>
      <c r="H40" s="1"/>
    </row>
    <row r="41" spans="1:8" ht="25.75" x14ac:dyDescent="0.4">
      <c r="A41" s="5" t="s">
        <v>78</v>
      </c>
      <c r="B41" s="5" t="s">
        <v>79</v>
      </c>
      <c r="C41" s="6">
        <v>4</v>
      </c>
      <c r="D41" s="7" t="s">
        <v>20</v>
      </c>
      <c r="E41" s="7" t="s">
        <v>21</v>
      </c>
      <c r="F41" s="1"/>
      <c r="G41" s="1"/>
      <c r="H41" s="1"/>
    </row>
    <row r="42" spans="1:8" ht="25.75" x14ac:dyDescent="0.4">
      <c r="A42" s="5" t="s">
        <v>80</v>
      </c>
      <c r="B42" s="5" t="s">
        <v>81</v>
      </c>
      <c r="C42" s="6">
        <v>2</v>
      </c>
      <c r="D42" s="7" t="s">
        <v>20</v>
      </c>
      <c r="E42" s="7" t="s">
        <v>21</v>
      </c>
      <c r="F42" s="1"/>
      <c r="G42" s="1"/>
      <c r="H42" s="1"/>
    </row>
    <row r="43" spans="1:8" x14ac:dyDescent="0.4">
      <c r="A43" s="5" t="s">
        <v>82</v>
      </c>
      <c r="B43" s="5" t="s">
        <v>83</v>
      </c>
      <c r="C43" s="6">
        <v>2</v>
      </c>
      <c r="D43" s="7" t="s">
        <v>20</v>
      </c>
      <c r="E43" s="7" t="s">
        <v>21</v>
      </c>
      <c r="F43" s="1"/>
      <c r="G43" s="1"/>
      <c r="H43" s="1"/>
    </row>
    <row r="44" spans="1:8" x14ac:dyDescent="0.4">
      <c r="A44" s="5" t="s">
        <v>84</v>
      </c>
      <c r="B44" s="5" t="s">
        <v>85</v>
      </c>
      <c r="C44" s="6">
        <v>1</v>
      </c>
      <c r="D44" s="7" t="s">
        <v>20</v>
      </c>
      <c r="E44" s="7" t="s">
        <v>21</v>
      </c>
      <c r="F44" s="1"/>
      <c r="G44" s="1"/>
      <c r="H44" s="1"/>
    </row>
    <row r="45" spans="1:8" x14ac:dyDescent="0.4">
      <c r="A45" s="5" t="s">
        <v>86</v>
      </c>
      <c r="B45" s="5" t="s">
        <v>87</v>
      </c>
      <c r="C45" s="6">
        <v>1</v>
      </c>
      <c r="D45" s="7" t="s">
        <v>20</v>
      </c>
      <c r="E45" s="7" t="s">
        <v>21</v>
      </c>
      <c r="F45" s="1"/>
      <c r="G45" s="1"/>
      <c r="H45" s="1"/>
    </row>
    <row r="46" spans="1:8" x14ac:dyDescent="0.4">
      <c r="A46" s="5" t="s">
        <v>88</v>
      </c>
      <c r="B46" s="5" t="s">
        <v>89</v>
      </c>
      <c r="C46" s="6">
        <v>2</v>
      </c>
      <c r="D46" s="7" t="s">
        <v>20</v>
      </c>
      <c r="E46" s="7" t="s">
        <v>21</v>
      </c>
      <c r="F46" s="1"/>
      <c r="G46" s="1"/>
      <c r="H46" s="1"/>
    </row>
    <row r="47" spans="1:8" x14ac:dyDescent="0.4">
      <c r="A47" s="5" t="s">
        <v>90</v>
      </c>
      <c r="B47" s="5" t="s">
        <v>91</v>
      </c>
      <c r="C47" s="6">
        <v>2</v>
      </c>
      <c r="D47" s="7" t="s">
        <v>20</v>
      </c>
      <c r="E47" s="7" t="s">
        <v>21</v>
      </c>
      <c r="F47" s="1"/>
      <c r="G47" s="1"/>
      <c r="H47" s="1"/>
    </row>
    <row r="48" spans="1:8" ht="25.75" x14ac:dyDescent="0.4">
      <c r="A48" s="5" t="s">
        <v>92</v>
      </c>
      <c r="B48" s="5" t="s">
        <v>93</v>
      </c>
      <c r="C48" s="6">
        <v>1</v>
      </c>
      <c r="D48" s="7" t="s">
        <v>20</v>
      </c>
      <c r="E48" s="7" t="s">
        <v>21</v>
      </c>
      <c r="F48" s="1"/>
      <c r="G48" s="1"/>
      <c r="H48" s="1"/>
    </row>
    <row r="49" spans="1:8" x14ac:dyDescent="0.4">
      <c r="A49" s="5" t="s">
        <v>94</v>
      </c>
      <c r="B49" s="5" t="s">
        <v>95</v>
      </c>
      <c r="C49" s="6">
        <v>2</v>
      </c>
      <c r="D49" s="7" t="s">
        <v>20</v>
      </c>
      <c r="E49" s="7" t="s">
        <v>21</v>
      </c>
      <c r="F49" s="1"/>
      <c r="G49" s="1"/>
      <c r="H49" s="1"/>
    </row>
    <row r="50" spans="1:8" x14ac:dyDescent="0.4">
      <c r="A50" s="5" t="s">
        <v>96</v>
      </c>
      <c r="B50" s="5" t="s">
        <v>97</v>
      </c>
      <c r="C50" s="6">
        <v>2</v>
      </c>
      <c r="D50" s="7" t="s">
        <v>20</v>
      </c>
      <c r="E50" s="7" t="s">
        <v>21</v>
      </c>
      <c r="F50" s="1"/>
      <c r="G50" s="1"/>
      <c r="H50" s="1"/>
    </row>
    <row r="51" spans="1:8" x14ac:dyDescent="0.4">
      <c r="A51" s="5" t="s">
        <v>98</v>
      </c>
      <c r="B51" s="5" t="s">
        <v>99</v>
      </c>
      <c r="C51" s="6">
        <v>2</v>
      </c>
      <c r="D51" s="7" t="s">
        <v>20</v>
      </c>
      <c r="E51" s="7" t="s">
        <v>21</v>
      </c>
      <c r="F51" s="1"/>
      <c r="G51" s="1"/>
      <c r="H51" s="1"/>
    </row>
    <row r="52" spans="1:8" x14ac:dyDescent="0.4">
      <c r="A52" s="5" t="s">
        <v>100</v>
      </c>
      <c r="B52" s="5" t="s">
        <v>101</v>
      </c>
      <c r="C52" s="6">
        <v>3</v>
      </c>
      <c r="D52" s="7" t="s">
        <v>20</v>
      </c>
      <c r="E52" s="7" t="s">
        <v>21</v>
      </c>
      <c r="F52" s="1"/>
      <c r="G52" s="1"/>
      <c r="H52" s="1"/>
    </row>
    <row r="53" spans="1:8" x14ac:dyDescent="0.4">
      <c r="A53" s="5" t="s">
        <v>102</v>
      </c>
      <c r="B53" s="5" t="s">
        <v>103</v>
      </c>
      <c r="C53" s="6">
        <v>2</v>
      </c>
      <c r="D53" s="7" t="s">
        <v>20</v>
      </c>
      <c r="E53" s="7" t="s">
        <v>21</v>
      </c>
      <c r="F53" s="1"/>
      <c r="G53" s="1"/>
      <c r="H53" s="1"/>
    </row>
    <row r="54" spans="1:8" x14ac:dyDescent="0.4">
      <c r="A54" s="5" t="s">
        <v>104</v>
      </c>
      <c r="B54" s="5" t="s">
        <v>105</v>
      </c>
      <c r="C54" s="6">
        <v>3</v>
      </c>
      <c r="D54" s="7" t="s">
        <v>20</v>
      </c>
      <c r="E54" s="7" t="s">
        <v>21</v>
      </c>
      <c r="F54" s="1"/>
      <c r="G54" s="1"/>
      <c r="H54" s="1"/>
    </row>
    <row r="55" spans="1:8" ht="25.75" x14ac:dyDescent="0.4">
      <c r="A55" s="5" t="s">
        <v>106</v>
      </c>
      <c r="B55" s="5" t="s">
        <v>107</v>
      </c>
      <c r="C55" s="6">
        <v>2</v>
      </c>
      <c r="D55" s="7" t="s">
        <v>20</v>
      </c>
      <c r="E55" s="7" t="s">
        <v>21</v>
      </c>
      <c r="F55" s="1"/>
      <c r="G55" s="1"/>
      <c r="H55" s="1"/>
    </row>
    <row r="56" spans="1:8" ht="25.75" x14ac:dyDescent="0.4">
      <c r="A56" s="5" t="s">
        <v>108</v>
      </c>
      <c r="B56" s="5" t="s">
        <v>109</v>
      </c>
      <c r="C56" s="6">
        <v>2</v>
      </c>
      <c r="D56" s="7" t="s">
        <v>20</v>
      </c>
      <c r="E56" s="7" t="s">
        <v>21</v>
      </c>
      <c r="F56" s="1"/>
      <c r="G56" s="1"/>
      <c r="H56" s="1"/>
    </row>
    <row r="57" spans="1:8" x14ac:dyDescent="0.4">
      <c r="A57" s="5" t="s">
        <v>110</v>
      </c>
      <c r="B57" s="5" t="s">
        <v>111</v>
      </c>
      <c r="C57" s="6">
        <v>2</v>
      </c>
      <c r="D57" s="7" t="s">
        <v>20</v>
      </c>
      <c r="E57" s="7" t="s">
        <v>21</v>
      </c>
      <c r="F57" s="1"/>
      <c r="G57" s="1"/>
      <c r="H57" s="1"/>
    </row>
    <row r="58" spans="1:8" x14ac:dyDescent="0.4">
      <c r="A58" s="5" t="s">
        <v>112</v>
      </c>
      <c r="B58" s="5" t="s">
        <v>113</v>
      </c>
      <c r="C58" s="6">
        <v>4</v>
      </c>
      <c r="D58" s="7" t="s">
        <v>20</v>
      </c>
      <c r="E58" s="7" t="s">
        <v>21</v>
      </c>
      <c r="F58" s="1"/>
      <c r="G58" s="1"/>
      <c r="H58" s="1"/>
    </row>
    <row r="59" spans="1:8" x14ac:dyDescent="0.4">
      <c r="A59" s="5" t="s">
        <v>114</v>
      </c>
      <c r="B59" s="5" t="s">
        <v>115</v>
      </c>
      <c r="C59" s="6">
        <v>4</v>
      </c>
      <c r="D59" s="7" t="s">
        <v>20</v>
      </c>
      <c r="E59" s="7" t="s">
        <v>21</v>
      </c>
      <c r="F59" s="1"/>
      <c r="G59" s="1"/>
      <c r="H59" s="1"/>
    </row>
    <row r="60" spans="1:8" x14ac:dyDescent="0.4">
      <c r="A60" s="5" t="s">
        <v>116</v>
      </c>
      <c r="B60" s="5" t="s">
        <v>117</v>
      </c>
      <c r="C60" s="6">
        <v>2</v>
      </c>
      <c r="D60" s="7" t="s">
        <v>20</v>
      </c>
      <c r="E60" s="7" t="s">
        <v>21</v>
      </c>
      <c r="F60" s="1"/>
      <c r="G60" s="1"/>
      <c r="H60" s="1"/>
    </row>
    <row r="61" spans="1:8" x14ac:dyDescent="0.4">
      <c r="A61" s="5" t="s">
        <v>118</v>
      </c>
      <c r="B61" s="5" t="s">
        <v>119</v>
      </c>
      <c r="C61" s="6">
        <v>2</v>
      </c>
      <c r="D61" s="7" t="s">
        <v>120</v>
      </c>
      <c r="E61" s="8" t="s">
        <v>121</v>
      </c>
      <c r="F61" s="1"/>
      <c r="G61" s="1"/>
      <c r="H61" s="1"/>
    </row>
    <row r="62" spans="1:8" x14ac:dyDescent="0.4">
      <c r="A62" s="5" t="s">
        <v>122</v>
      </c>
      <c r="B62" s="5" t="s">
        <v>123</v>
      </c>
      <c r="C62" s="6">
        <v>3</v>
      </c>
      <c r="D62" s="7" t="s">
        <v>20</v>
      </c>
      <c r="E62" s="7" t="s">
        <v>21</v>
      </c>
      <c r="F62" s="1"/>
      <c r="G62" s="1"/>
      <c r="H62" s="1"/>
    </row>
    <row r="63" spans="1:8" x14ac:dyDescent="0.4">
      <c r="A63" s="5" t="s">
        <v>124</v>
      </c>
      <c r="B63" s="5" t="s">
        <v>125</v>
      </c>
      <c r="C63" s="6">
        <v>3</v>
      </c>
      <c r="D63" s="7" t="s">
        <v>20</v>
      </c>
      <c r="E63" s="7" t="s">
        <v>21</v>
      </c>
      <c r="F63" s="1"/>
      <c r="G63" s="1"/>
      <c r="H63" s="1"/>
    </row>
    <row r="64" spans="1:8" x14ac:dyDescent="0.4">
      <c r="A64" s="5" t="s">
        <v>126</v>
      </c>
      <c r="B64" s="5" t="s">
        <v>127</v>
      </c>
      <c r="C64" s="6">
        <v>2</v>
      </c>
      <c r="D64" s="7" t="s">
        <v>20</v>
      </c>
      <c r="E64" s="7" t="s">
        <v>21</v>
      </c>
      <c r="F64" s="1"/>
      <c r="G64" s="1"/>
      <c r="H64" s="1"/>
    </row>
    <row r="65" spans="1:8" x14ac:dyDescent="0.4">
      <c r="A65" s="5" t="s">
        <v>128</v>
      </c>
      <c r="B65" s="5" t="s">
        <v>129</v>
      </c>
      <c r="C65" s="6">
        <v>2</v>
      </c>
      <c r="D65" s="7" t="s">
        <v>20</v>
      </c>
      <c r="E65" s="7" t="s">
        <v>21</v>
      </c>
      <c r="F65" s="1"/>
      <c r="G65" s="1"/>
      <c r="H65" s="1"/>
    </row>
    <row r="66" spans="1:8" x14ac:dyDescent="0.4">
      <c r="A66" s="5" t="s">
        <v>130</v>
      </c>
      <c r="B66" s="5" t="s">
        <v>131</v>
      </c>
      <c r="C66" s="6">
        <v>3</v>
      </c>
      <c r="D66" s="7" t="s">
        <v>20</v>
      </c>
      <c r="E66" s="7" t="s">
        <v>21</v>
      </c>
      <c r="F66" s="1"/>
      <c r="G66" s="1"/>
      <c r="H66" s="1"/>
    </row>
    <row r="67" spans="1:8" ht="25.75" x14ac:dyDescent="0.4">
      <c r="A67" s="5" t="s">
        <v>132</v>
      </c>
      <c r="B67" s="5" t="s">
        <v>133</v>
      </c>
      <c r="C67" s="6">
        <v>1</v>
      </c>
      <c r="D67" s="7" t="s">
        <v>20</v>
      </c>
      <c r="E67" s="7" t="s">
        <v>21</v>
      </c>
      <c r="F67" s="1"/>
      <c r="G67" s="1"/>
      <c r="H67" s="1"/>
    </row>
    <row r="68" spans="1:8" x14ac:dyDescent="0.4">
      <c r="A68" s="1"/>
      <c r="B68" s="1"/>
      <c r="C68" s="1"/>
      <c r="D68" s="1"/>
      <c r="E68" s="1"/>
      <c r="F68" s="1"/>
      <c r="G68" s="1"/>
      <c r="H68" s="1"/>
    </row>
    <row r="69" spans="1:8" x14ac:dyDescent="0.4">
      <c r="A69" s="1"/>
      <c r="B69" s="1"/>
      <c r="C69" s="1"/>
      <c r="D69" s="1"/>
      <c r="E69" s="1"/>
      <c r="F69" s="1"/>
      <c r="G69" s="1"/>
      <c r="H69" s="1"/>
    </row>
    <row r="70" spans="1:8" x14ac:dyDescent="0.4">
      <c r="A70" s="1"/>
      <c r="B70" s="1"/>
      <c r="C70" s="1"/>
      <c r="D70" s="1"/>
      <c r="E70" s="1"/>
      <c r="F70" s="1"/>
      <c r="G70" s="1"/>
      <c r="H70" s="1"/>
    </row>
    <row r="71" spans="1:8" x14ac:dyDescent="0.4">
      <c r="A71" s="31" t="s">
        <v>134</v>
      </c>
      <c r="B71" s="29"/>
      <c r="C71" s="29"/>
      <c r="D71" s="29"/>
      <c r="E71" s="1"/>
      <c r="F71" s="1"/>
      <c r="G71" s="1"/>
      <c r="H71" s="1"/>
    </row>
    <row r="72" spans="1:8" x14ac:dyDescent="0.4">
      <c r="A72" s="4" t="s">
        <v>135</v>
      </c>
      <c r="B72" s="4" t="s">
        <v>136</v>
      </c>
      <c r="C72" s="1"/>
      <c r="D72" s="1"/>
      <c r="E72" s="1"/>
      <c r="F72" s="1"/>
      <c r="G72" s="1"/>
      <c r="H72" s="1"/>
    </row>
    <row r="73" spans="1:8" x14ac:dyDescent="0.4">
      <c r="A73" s="9" t="s">
        <v>137</v>
      </c>
      <c r="B73" s="10">
        <v>2.0488</v>
      </c>
      <c r="C73" s="1"/>
      <c r="D73" s="1"/>
      <c r="E73" s="1"/>
      <c r="F73" s="1"/>
      <c r="G73" s="1"/>
      <c r="H73" s="1"/>
    </row>
    <row r="74" spans="1:8" x14ac:dyDescent="0.4">
      <c r="A74" s="9" t="s">
        <v>138</v>
      </c>
      <c r="B74" s="10">
        <v>2.4</v>
      </c>
      <c r="C74" s="1"/>
      <c r="D74" s="1"/>
      <c r="E74" s="1"/>
      <c r="F74" s="1"/>
      <c r="G74" s="1"/>
      <c r="H74" s="1"/>
    </row>
    <row r="75" spans="1:8" x14ac:dyDescent="0.4">
      <c r="A75" s="9" t="s">
        <v>139</v>
      </c>
      <c r="B75" s="10">
        <v>1.98</v>
      </c>
      <c r="C75" s="1"/>
      <c r="D75" s="1"/>
      <c r="E75" s="1"/>
      <c r="F75" s="1"/>
      <c r="G75" s="1"/>
      <c r="H75" s="1"/>
    </row>
    <row r="76" spans="1:8" x14ac:dyDescent="0.4">
      <c r="A76" s="9" t="s">
        <v>140</v>
      </c>
      <c r="B76" s="10">
        <v>2.1827999999999999</v>
      </c>
      <c r="C76" s="1"/>
      <c r="D76" s="1"/>
      <c r="E76" s="1"/>
      <c r="F76" s="1"/>
      <c r="G76" s="1"/>
      <c r="H76" s="1"/>
    </row>
    <row r="77" spans="1:8" ht="38.6" x14ac:dyDescent="0.4">
      <c r="A77" s="9" t="s">
        <v>141</v>
      </c>
      <c r="B77" s="10">
        <v>2.1429</v>
      </c>
      <c r="C77" s="1"/>
      <c r="D77" s="1"/>
      <c r="E77" s="1"/>
      <c r="F77" s="1"/>
      <c r="G77" s="1"/>
      <c r="H77" s="1"/>
    </row>
    <row r="78" spans="1:8" ht="38.6" x14ac:dyDescent="0.4">
      <c r="A78" s="9" t="s">
        <v>142</v>
      </c>
      <c r="B78" s="10">
        <v>3.4285999999999999</v>
      </c>
      <c r="C78" s="1"/>
      <c r="D78" s="1"/>
      <c r="E78" s="1"/>
      <c r="F78" s="1"/>
      <c r="G78" s="1"/>
      <c r="H78" s="1"/>
    </row>
    <row r="79" spans="1:8" ht="38.6" x14ac:dyDescent="0.4">
      <c r="A79" s="9" t="s">
        <v>143</v>
      </c>
      <c r="B79" s="10">
        <v>1.625</v>
      </c>
      <c r="C79" s="1"/>
      <c r="D79" s="1"/>
      <c r="E79" s="1"/>
      <c r="F79" s="1"/>
      <c r="G79" s="1"/>
      <c r="H79" s="1"/>
    </row>
    <row r="80" spans="1:8" ht="25.75" x14ac:dyDescent="0.4">
      <c r="A80" s="9" t="s">
        <v>144</v>
      </c>
      <c r="B80" s="10">
        <v>2.1522000000000001</v>
      </c>
      <c r="C80" s="1"/>
      <c r="D80" s="1"/>
      <c r="E80" s="1"/>
      <c r="F80" s="1"/>
      <c r="G80" s="1"/>
      <c r="H80" s="1"/>
    </row>
    <row r="81" spans="1:8" ht="51.45" x14ac:dyDescent="0.4">
      <c r="A81" s="9" t="s">
        <v>145</v>
      </c>
      <c r="B81" s="10">
        <v>2</v>
      </c>
      <c r="C81" s="1"/>
      <c r="D81" s="1"/>
      <c r="E81" s="1"/>
      <c r="F81" s="1"/>
      <c r="G81" s="1"/>
      <c r="H81" s="1"/>
    </row>
    <row r="82" spans="1:8" ht="38.6" x14ac:dyDescent="0.4">
      <c r="A82" s="9" t="s">
        <v>146</v>
      </c>
      <c r="B82" s="10">
        <v>1.8332999999999999</v>
      </c>
      <c r="C82" s="1"/>
      <c r="D82" s="1"/>
      <c r="E82" s="1"/>
      <c r="F82" s="1"/>
      <c r="G82" s="1"/>
      <c r="H82" s="1"/>
    </row>
    <row r="83" spans="1:8" ht="38.6" x14ac:dyDescent="0.4">
      <c r="A83" s="9" t="s">
        <v>147</v>
      </c>
      <c r="B83" s="10">
        <v>1.75</v>
      </c>
      <c r="C83" s="1"/>
      <c r="D83" s="1"/>
      <c r="E83" s="1"/>
      <c r="F83" s="1"/>
      <c r="G83" s="1"/>
      <c r="H83" s="1"/>
    </row>
    <row r="84" spans="1:8" ht="51.45" x14ac:dyDescent="0.4">
      <c r="A84" s="9" t="s">
        <v>148</v>
      </c>
      <c r="B84" s="10">
        <v>2</v>
      </c>
      <c r="C84" s="1"/>
      <c r="D84" s="1"/>
      <c r="E84" s="1"/>
      <c r="F84" s="1"/>
      <c r="G84" s="1"/>
      <c r="H84" s="1"/>
    </row>
    <row r="85" spans="1:8" ht="38.6" x14ac:dyDescent="0.4">
      <c r="A85" s="9" t="s">
        <v>149</v>
      </c>
      <c r="B85" s="10">
        <v>1.9061999999999999</v>
      </c>
      <c r="C85" s="1"/>
      <c r="D85" s="1"/>
      <c r="E85" s="1"/>
      <c r="F85" s="1"/>
      <c r="G85" s="1"/>
      <c r="H85" s="1"/>
    </row>
    <row r="86" spans="1:8" ht="51.45" x14ac:dyDescent="0.4">
      <c r="A86" s="9" t="s">
        <v>150</v>
      </c>
      <c r="B86" s="10">
        <v>2.5</v>
      </c>
      <c r="C86" s="1"/>
      <c r="D86" s="1"/>
      <c r="E86" s="1"/>
      <c r="F86" s="1"/>
      <c r="G86" s="1"/>
      <c r="H86" s="1"/>
    </row>
    <row r="87" spans="1:8" ht="51.45" x14ac:dyDescent="0.4">
      <c r="A87" s="9" t="s">
        <v>151</v>
      </c>
      <c r="B87" s="10">
        <v>2.8</v>
      </c>
      <c r="C87" s="1"/>
      <c r="D87" s="1"/>
      <c r="E87" s="1"/>
      <c r="F87" s="1"/>
      <c r="G87" s="1"/>
      <c r="H87" s="1"/>
    </row>
    <row r="88" spans="1:8" ht="38.6" x14ac:dyDescent="0.4">
      <c r="A88" s="9" t="s">
        <v>152</v>
      </c>
      <c r="B88" s="10">
        <v>3</v>
      </c>
      <c r="C88" s="1"/>
      <c r="D88" s="1"/>
      <c r="E88" s="1"/>
      <c r="F88" s="1"/>
      <c r="G88" s="1"/>
      <c r="H88" s="1"/>
    </row>
  </sheetData>
  <mergeCells count="3">
    <mergeCell ref="A2:H2"/>
    <mergeCell ref="A71:D71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D46"/>
  <sheetViews>
    <sheetView showGridLines="0" tabSelected="1" zoomScale="86" zoomScaleNormal="130" workbookViewId="0">
      <selection activeCell="C36" sqref="C36"/>
    </sheetView>
  </sheetViews>
  <sheetFormatPr defaultColWidth="8.84375" defaultRowHeight="14.6" x14ac:dyDescent="0.4"/>
  <cols>
    <col min="1" max="1" width="24" customWidth="1"/>
    <col min="2" max="2" width="16" customWidth="1"/>
    <col min="3" max="3" width="28" customWidth="1"/>
    <col min="4" max="4" width="16" customWidth="1"/>
    <col min="5" max="5" width="14" customWidth="1"/>
    <col min="6" max="6" width="48" customWidth="1"/>
    <col min="7" max="7" width="16" customWidth="1"/>
    <col min="8" max="8" width="60" customWidth="1"/>
    <col min="9" max="82" width="18" customWidth="1"/>
  </cols>
  <sheetData>
    <row r="1" spans="1:82" ht="24" customHeight="1" x14ac:dyDescent="0.4">
      <c r="A1" s="30" t="s">
        <v>153</v>
      </c>
      <c r="B1" s="29"/>
      <c r="C1" s="29"/>
      <c r="D1" s="29"/>
      <c r="E1" s="29"/>
      <c r="F1" s="29"/>
      <c r="G1" s="29"/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</row>
    <row r="2" spans="1:82" x14ac:dyDescent="0.4">
      <c r="A2" s="28" t="s">
        <v>154</v>
      </c>
      <c r="B2" s="29"/>
      <c r="C2" s="29"/>
      <c r="D2" s="29"/>
      <c r="E2" s="29"/>
      <c r="F2" s="29"/>
      <c r="G2" s="29"/>
      <c r="H2" s="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</row>
    <row r="3" spans="1:82" ht="25.75" x14ac:dyDescent="0.4">
      <c r="A3" s="2" t="s">
        <v>2</v>
      </c>
      <c r="B3" s="3" t="s">
        <v>155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</row>
    <row r="4" spans="1:82" x14ac:dyDescent="0.4">
      <c r="A4" s="2" t="s">
        <v>4</v>
      </c>
      <c r="B4" s="3" t="s">
        <v>156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</row>
    <row r="5" spans="1:82" ht="25.75" x14ac:dyDescent="0.4">
      <c r="A5" s="2" t="s">
        <v>157</v>
      </c>
      <c r="B5" s="3" t="s">
        <v>158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</row>
    <row r="6" spans="1:82" ht="77.150000000000006" x14ac:dyDescent="0.4">
      <c r="A6" s="2" t="s">
        <v>159</v>
      </c>
      <c r="B6" s="11" t="s">
        <v>160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</row>
    <row r="7" spans="1:82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</row>
    <row r="8" spans="1:82" x14ac:dyDescent="0.4">
      <c r="A8" s="4" t="s">
        <v>161</v>
      </c>
      <c r="B8" s="4" t="s">
        <v>162</v>
      </c>
      <c r="C8" s="4" t="s">
        <v>163</v>
      </c>
      <c r="D8" s="4" t="s">
        <v>164</v>
      </c>
      <c r="E8" s="4" t="s">
        <v>165</v>
      </c>
      <c r="F8" s="4" t="s">
        <v>166</v>
      </c>
      <c r="G8" s="4" t="s">
        <v>167</v>
      </c>
      <c r="H8" s="4" t="s">
        <v>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</row>
    <row r="9" spans="1:82" x14ac:dyDescent="0.4">
      <c r="A9" s="5" t="s">
        <v>158</v>
      </c>
      <c r="B9" s="5" t="s">
        <v>10</v>
      </c>
      <c r="C9" s="5" t="s">
        <v>168</v>
      </c>
      <c r="D9" s="12">
        <v>4</v>
      </c>
      <c r="E9" s="7" t="s">
        <v>20</v>
      </c>
      <c r="F9" s="7" t="s">
        <v>169</v>
      </c>
      <c r="G9" s="5">
        <v>2</v>
      </c>
      <c r="H9" s="7" t="s">
        <v>21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</row>
    <row r="10" spans="1:82" x14ac:dyDescent="0.4">
      <c r="A10" s="5" t="s">
        <v>158</v>
      </c>
      <c r="B10" s="5" t="s">
        <v>10</v>
      </c>
      <c r="C10" s="5" t="s">
        <v>170</v>
      </c>
      <c r="D10" s="12">
        <v>3</v>
      </c>
      <c r="E10" s="7" t="s">
        <v>20</v>
      </c>
      <c r="F10" s="7" t="s">
        <v>171</v>
      </c>
      <c r="G10" s="5">
        <v>2</v>
      </c>
      <c r="H10" s="7" t="s">
        <v>21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</row>
    <row r="11" spans="1:82" x14ac:dyDescent="0.4">
      <c r="A11" s="5" t="s">
        <v>158</v>
      </c>
      <c r="B11" s="5" t="s">
        <v>10</v>
      </c>
      <c r="C11" s="5" t="s">
        <v>172</v>
      </c>
      <c r="D11" s="12">
        <v>3</v>
      </c>
      <c r="E11" s="7" t="s">
        <v>20</v>
      </c>
      <c r="F11" s="7" t="s">
        <v>173</v>
      </c>
      <c r="G11" s="5">
        <v>2</v>
      </c>
      <c r="H11" s="7" t="s">
        <v>21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</row>
    <row r="12" spans="1:82" x14ac:dyDescent="0.4">
      <c r="A12" s="5" t="s">
        <v>158</v>
      </c>
      <c r="B12" s="5" t="s">
        <v>10</v>
      </c>
      <c r="C12" s="5" t="s">
        <v>174</v>
      </c>
      <c r="D12" s="12">
        <v>3</v>
      </c>
      <c r="E12" s="7" t="s">
        <v>20</v>
      </c>
      <c r="F12" s="7" t="s">
        <v>175</v>
      </c>
      <c r="G12" s="5">
        <v>2</v>
      </c>
      <c r="H12" s="7" t="s">
        <v>21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</row>
    <row r="13" spans="1:82" x14ac:dyDescent="0.4">
      <c r="A13" s="5" t="s">
        <v>158</v>
      </c>
      <c r="B13" s="5" t="s">
        <v>10</v>
      </c>
      <c r="C13" s="5" t="s">
        <v>176</v>
      </c>
      <c r="D13" s="12">
        <v>3</v>
      </c>
      <c r="E13" s="7" t="s">
        <v>20</v>
      </c>
      <c r="F13" s="7" t="s">
        <v>177</v>
      </c>
      <c r="G13" s="5">
        <v>2</v>
      </c>
      <c r="H13" s="7" t="s">
        <v>21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</row>
    <row r="14" spans="1:82" x14ac:dyDescent="0.4">
      <c r="A14" s="5" t="s">
        <v>158</v>
      </c>
      <c r="B14" s="5" t="s">
        <v>10</v>
      </c>
      <c r="C14" s="5" t="s">
        <v>178</v>
      </c>
      <c r="D14" s="12">
        <v>4</v>
      </c>
      <c r="E14" s="7" t="s">
        <v>20</v>
      </c>
      <c r="F14" s="7" t="s">
        <v>179</v>
      </c>
      <c r="G14" s="5">
        <v>2</v>
      </c>
      <c r="H14" s="7" t="s">
        <v>21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</row>
    <row r="15" spans="1:82" x14ac:dyDescent="0.4">
      <c r="A15" s="5" t="s">
        <v>158</v>
      </c>
      <c r="B15" s="5" t="s">
        <v>10</v>
      </c>
      <c r="C15" s="5" t="s">
        <v>180</v>
      </c>
      <c r="D15" s="12">
        <v>3</v>
      </c>
      <c r="E15" s="7" t="s">
        <v>20</v>
      </c>
      <c r="F15" s="7" t="s">
        <v>181</v>
      </c>
      <c r="G15" s="5">
        <v>2</v>
      </c>
      <c r="H15" s="7" t="s">
        <v>21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</row>
    <row r="16" spans="1:82" ht="25.75" x14ac:dyDescent="0.4">
      <c r="A16" s="5" t="s">
        <v>158</v>
      </c>
      <c r="B16" s="5" t="s">
        <v>10</v>
      </c>
      <c r="C16" s="5" t="s">
        <v>182</v>
      </c>
      <c r="D16" s="12">
        <v>3</v>
      </c>
      <c r="E16" s="7" t="s">
        <v>20</v>
      </c>
      <c r="F16" s="7" t="s">
        <v>183</v>
      </c>
      <c r="G16" s="5">
        <v>2</v>
      </c>
      <c r="H16" s="7" t="s">
        <v>184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</row>
    <row r="17" spans="1:82" x14ac:dyDescent="0.4">
      <c r="A17" s="5" t="s">
        <v>158</v>
      </c>
      <c r="B17" s="5" t="s">
        <v>10</v>
      </c>
      <c r="C17" s="5" t="s">
        <v>185</v>
      </c>
      <c r="D17" s="12">
        <v>3</v>
      </c>
      <c r="E17" s="7" t="s">
        <v>20</v>
      </c>
      <c r="F17" s="7" t="s">
        <v>186</v>
      </c>
      <c r="G17" s="5">
        <v>2</v>
      </c>
      <c r="H17" s="7" t="s">
        <v>21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</row>
    <row r="18" spans="1:82" x14ac:dyDescent="0.4">
      <c r="A18" s="5" t="s">
        <v>158</v>
      </c>
      <c r="B18" s="5" t="s">
        <v>10</v>
      </c>
      <c r="C18" s="5" t="s">
        <v>187</v>
      </c>
      <c r="D18" s="12">
        <v>2</v>
      </c>
      <c r="E18" s="7" t="s">
        <v>20</v>
      </c>
      <c r="F18" s="7" t="s">
        <v>188</v>
      </c>
      <c r="G18" s="5">
        <v>2</v>
      </c>
      <c r="H18" s="7" t="s">
        <v>21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</row>
    <row r="19" spans="1:82" x14ac:dyDescent="0.4">
      <c r="A19" s="5" t="s">
        <v>189</v>
      </c>
      <c r="B19" s="5" t="s">
        <v>190</v>
      </c>
      <c r="C19" s="5" t="s">
        <v>168</v>
      </c>
      <c r="D19" s="12">
        <v>3</v>
      </c>
      <c r="E19" s="7" t="s">
        <v>120</v>
      </c>
      <c r="F19" s="7" t="s">
        <v>191</v>
      </c>
      <c r="G19" s="5">
        <v>3</v>
      </c>
      <c r="H19" s="7" t="s">
        <v>21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</row>
    <row r="20" spans="1:82" x14ac:dyDescent="0.4">
      <c r="A20" s="5" t="s">
        <v>189</v>
      </c>
      <c r="B20" s="5" t="s">
        <v>190</v>
      </c>
      <c r="C20" s="5" t="s">
        <v>170</v>
      </c>
      <c r="D20" s="12">
        <v>3</v>
      </c>
      <c r="E20" s="7" t="s">
        <v>120</v>
      </c>
      <c r="F20" s="7" t="s">
        <v>192</v>
      </c>
      <c r="G20" s="5">
        <v>3</v>
      </c>
      <c r="H20" s="7" t="s">
        <v>21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</row>
    <row r="21" spans="1:82" x14ac:dyDescent="0.4">
      <c r="A21" s="5" t="s">
        <v>189</v>
      </c>
      <c r="B21" s="5" t="s">
        <v>190</v>
      </c>
      <c r="C21" s="5" t="s">
        <v>172</v>
      </c>
      <c r="D21" s="12">
        <v>4</v>
      </c>
      <c r="E21" s="7" t="s">
        <v>120</v>
      </c>
      <c r="F21" s="7" t="s">
        <v>193</v>
      </c>
      <c r="G21" s="5">
        <v>3</v>
      </c>
      <c r="H21" s="7" t="s">
        <v>21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</row>
    <row r="22" spans="1:82" x14ac:dyDescent="0.4">
      <c r="A22" s="5" t="s">
        <v>189</v>
      </c>
      <c r="B22" s="5" t="s">
        <v>190</v>
      </c>
      <c r="C22" s="5" t="s">
        <v>174</v>
      </c>
      <c r="D22" s="12">
        <v>4</v>
      </c>
      <c r="E22" s="7" t="s">
        <v>120</v>
      </c>
      <c r="F22" s="7" t="s">
        <v>194</v>
      </c>
      <c r="G22" s="5">
        <v>3</v>
      </c>
      <c r="H22" s="7" t="s">
        <v>21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</row>
    <row r="23" spans="1:82" x14ac:dyDescent="0.4">
      <c r="A23" s="5" t="s">
        <v>189</v>
      </c>
      <c r="B23" s="5" t="s">
        <v>190</v>
      </c>
      <c r="C23" s="5" t="s">
        <v>176</v>
      </c>
      <c r="D23" s="12">
        <v>1</v>
      </c>
      <c r="E23" s="7" t="s">
        <v>120</v>
      </c>
      <c r="F23" s="7" t="s">
        <v>195</v>
      </c>
      <c r="G23" s="5">
        <v>3</v>
      </c>
      <c r="H23" s="7" t="s">
        <v>21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</row>
    <row r="24" spans="1:82" x14ac:dyDescent="0.4">
      <c r="A24" s="5" t="s">
        <v>189</v>
      </c>
      <c r="B24" s="5" t="s">
        <v>190</v>
      </c>
      <c r="C24" s="5" t="s">
        <v>178</v>
      </c>
      <c r="D24" s="12">
        <v>3</v>
      </c>
      <c r="E24" s="7" t="s">
        <v>120</v>
      </c>
      <c r="F24" s="7" t="s">
        <v>196</v>
      </c>
      <c r="G24" s="5">
        <v>3</v>
      </c>
      <c r="H24" s="7" t="s">
        <v>21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</row>
    <row r="25" spans="1:82" x14ac:dyDescent="0.4">
      <c r="A25" s="5" t="s">
        <v>189</v>
      </c>
      <c r="B25" s="5" t="s">
        <v>190</v>
      </c>
      <c r="C25" s="5" t="s">
        <v>180</v>
      </c>
      <c r="D25" s="12">
        <v>4</v>
      </c>
      <c r="E25" s="7" t="s">
        <v>120</v>
      </c>
      <c r="F25" s="7" t="s">
        <v>197</v>
      </c>
      <c r="G25" s="5">
        <v>3</v>
      </c>
      <c r="H25" s="7" t="s">
        <v>21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</row>
    <row r="26" spans="1:82" ht="25.75" x14ac:dyDescent="0.4">
      <c r="A26" s="5" t="s">
        <v>189</v>
      </c>
      <c r="B26" s="5" t="s">
        <v>190</v>
      </c>
      <c r="C26" s="5" t="s">
        <v>182</v>
      </c>
      <c r="D26" s="12">
        <v>3</v>
      </c>
      <c r="E26" s="7" t="s">
        <v>120</v>
      </c>
      <c r="F26" s="7" t="s">
        <v>198</v>
      </c>
      <c r="G26" s="5">
        <v>3</v>
      </c>
      <c r="H26" s="7" t="s">
        <v>184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</row>
    <row r="27" spans="1:82" x14ac:dyDescent="0.4">
      <c r="A27" s="5" t="s">
        <v>189</v>
      </c>
      <c r="B27" s="5" t="s">
        <v>190</v>
      </c>
      <c r="C27" s="5" t="s">
        <v>185</v>
      </c>
      <c r="D27" s="12">
        <v>4</v>
      </c>
      <c r="E27" s="7" t="s">
        <v>120</v>
      </c>
      <c r="F27" s="7" t="s">
        <v>199</v>
      </c>
      <c r="G27" s="5">
        <v>3</v>
      </c>
      <c r="H27" s="7" t="s">
        <v>21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</row>
    <row r="28" spans="1:82" x14ac:dyDescent="0.4">
      <c r="A28" s="5" t="s">
        <v>189</v>
      </c>
      <c r="B28" s="5" t="s">
        <v>190</v>
      </c>
      <c r="C28" s="5" t="s">
        <v>187</v>
      </c>
      <c r="D28" s="12">
        <v>2</v>
      </c>
      <c r="E28" s="7" t="s">
        <v>120</v>
      </c>
      <c r="F28" s="7" t="s">
        <v>200</v>
      </c>
      <c r="G28" s="5">
        <v>3</v>
      </c>
      <c r="H28" s="7" t="s">
        <v>21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</row>
    <row r="29" spans="1:82" x14ac:dyDescent="0.4">
      <c r="A29" s="5" t="s">
        <v>201</v>
      </c>
      <c r="B29" s="5" t="s">
        <v>190</v>
      </c>
      <c r="C29" s="5" t="s">
        <v>168</v>
      </c>
      <c r="D29" s="12">
        <v>4</v>
      </c>
      <c r="E29" s="7" t="s">
        <v>120</v>
      </c>
      <c r="F29" s="7" t="s">
        <v>202</v>
      </c>
      <c r="G29" s="5">
        <v>4</v>
      </c>
      <c r="H29" s="7" t="s">
        <v>21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</row>
    <row r="30" spans="1:82" x14ac:dyDescent="0.4">
      <c r="A30" s="5" t="s">
        <v>201</v>
      </c>
      <c r="B30" s="5" t="s">
        <v>190</v>
      </c>
      <c r="C30" s="5" t="s">
        <v>170</v>
      </c>
      <c r="D30" s="12">
        <v>4</v>
      </c>
      <c r="E30" s="7" t="s">
        <v>120</v>
      </c>
      <c r="F30" s="7" t="s">
        <v>203</v>
      </c>
      <c r="G30" s="5">
        <v>4</v>
      </c>
      <c r="H30" s="7" t="s">
        <v>21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</row>
    <row r="31" spans="1:82" x14ac:dyDescent="0.4">
      <c r="A31" s="5" t="s">
        <v>201</v>
      </c>
      <c r="B31" s="5" t="s">
        <v>190</v>
      </c>
      <c r="C31" s="5" t="s">
        <v>172</v>
      </c>
      <c r="D31" s="12">
        <v>4</v>
      </c>
      <c r="E31" s="7" t="s">
        <v>120</v>
      </c>
      <c r="F31" s="7" t="s">
        <v>204</v>
      </c>
      <c r="G31" s="5">
        <v>4</v>
      </c>
      <c r="H31" s="7" t="s">
        <v>21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</row>
    <row r="32" spans="1:82" x14ac:dyDescent="0.4">
      <c r="A32" s="5" t="s">
        <v>201</v>
      </c>
      <c r="B32" s="5" t="s">
        <v>190</v>
      </c>
      <c r="C32" s="5" t="s">
        <v>174</v>
      </c>
      <c r="D32" s="12">
        <v>4</v>
      </c>
      <c r="E32" s="7" t="s">
        <v>120</v>
      </c>
      <c r="F32" s="7" t="s">
        <v>205</v>
      </c>
      <c r="G32" s="5">
        <v>4</v>
      </c>
      <c r="H32" s="7" t="s">
        <v>21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</row>
    <row r="33" spans="1:82" x14ac:dyDescent="0.4">
      <c r="A33" s="5" t="s">
        <v>201</v>
      </c>
      <c r="B33" s="5" t="s">
        <v>190</v>
      </c>
      <c r="C33" s="5" t="s">
        <v>176</v>
      </c>
      <c r="D33" s="12">
        <v>4</v>
      </c>
      <c r="E33" s="7" t="s">
        <v>120</v>
      </c>
      <c r="F33" s="7" t="s">
        <v>206</v>
      </c>
      <c r="G33" s="5">
        <v>4</v>
      </c>
      <c r="H33" s="7" t="s">
        <v>21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</row>
    <row r="34" spans="1:82" x14ac:dyDescent="0.4">
      <c r="A34" s="5" t="s">
        <v>201</v>
      </c>
      <c r="B34" s="5" t="s">
        <v>190</v>
      </c>
      <c r="C34" s="5" t="s">
        <v>178</v>
      </c>
      <c r="D34" s="12">
        <v>4</v>
      </c>
      <c r="E34" s="7" t="s">
        <v>120</v>
      </c>
      <c r="F34" s="7" t="s">
        <v>207</v>
      </c>
      <c r="G34" s="5">
        <v>4</v>
      </c>
      <c r="H34" s="7" t="s">
        <v>21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</row>
    <row r="35" spans="1:82" x14ac:dyDescent="0.4">
      <c r="A35" s="5" t="s">
        <v>201</v>
      </c>
      <c r="B35" s="5" t="s">
        <v>190</v>
      </c>
      <c r="C35" s="5" t="s">
        <v>180</v>
      </c>
      <c r="D35" s="12">
        <v>4</v>
      </c>
      <c r="E35" s="7" t="s">
        <v>120</v>
      </c>
      <c r="F35" s="7" t="s">
        <v>208</v>
      </c>
      <c r="G35" s="5">
        <v>4</v>
      </c>
      <c r="H35" s="7" t="s">
        <v>21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</row>
    <row r="36" spans="1:82" ht="25.75" x14ac:dyDescent="0.4">
      <c r="A36" s="5" t="s">
        <v>201</v>
      </c>
      <c r="B36" s="5" t="s">
        <v>190</v>
      </c>
      <c r="C36" s="5" t="s">
        <v>182</v>
      </c>
      <c r="D36" s="12">
        <v>4</v>
      </c>
      <c r="E36" s="7" t="s">
        <v>120</v>
      </c>
      <c r="F36" s="7" t="s">
        <v>209</v>
      </c>
      <c r="G36" s="5">
        <v>4</v>
      </c>
      <c r="H36" s="7" t="s">
        <v>184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</row>
    <row r="37" spans="1:82" x14ac:dyDescent="0.4">
      <c r="A37" s="5" t="s">
        <v>201</v>
      </c>
      <c r="B37" s="5" t="s">
        <v>190</v>
      </c>
      <c r="C37" s="5" t="s">
        <v>185</v>
      </c>
      <c r="D37" s="12">
        <v>4</v>
      </c>
      <c r="E37" s="7" t="s">
        <v>120</v>
      </c>
      <c r="F37" s="7" t="s">
        <v>210</v>
      </c>
      <c r="G37" s="5">
        <v>4</v>
      </c>
      <c r="H37" s="7" t="s">
        <v>21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</row>
    <row r="38" spans="1:82" x14ac:dyDescent="0.4">
      <c r="A38" s="5" t="s">
        <v>201</v>
      </c>
      <c r="B38" s="5" t="s">
        <v>190</v>
      </c>
      <c r="C38" s="5" t="s">
        <v>187</v>
      </c>
      <c r="D38" s="12">
        <v>3</v>
      </c>
      <c r="E38" s="7" t="s">
        <v>120</v>
      </c>
      <c r="F38" s="7" t="s">
        <v>211</v>
      </c>
      <c r="G38" s="5">
        <v>4</v>
      </c>
      <c r="H38" s="7" t="s">
        <v>21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</row>
    <row r="39" spans="1:82" x14ac:dyDescent="0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</row>
    <row r="40" spans="1:82" x14ac:dyDescent="0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</row>
    <row r="41" spans="1:82" x14ac:dyDescent="0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</row>
    <row r="42" spans="1:82" x14ac:dyDescent="0.4">
      <c r="A42" s="31" t="s">
        <v>212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</row>
    <row r="43" spans="1:82" ht="25.75" x14ac:dyDescent="0.4">
      <c r="A43" s="4" t="s">
        <v>213</v>
      </c>
      <c r="B43" s="4" t="s">
        <v>214</v>
      </c>
      <c r="C43" s="4" t="s">
        <v>162</v>
      </c>
      <c r="D43" s="4" t="s">
        <v>215</v>
      </c>
      <c r="E43" s="4" t="s">
        <v>216</v>
      </c>
      <c r="F43" s="4" t="s">
        <v>217</v>
      </c>
      <c r="G43" s="4" t="s">
        <v>218</v>
      </c>
      <c r="H43" s="4" t="s">
        <v>219</v>
      </c>
      <c r="I43" s="4" t="s">
        <v>220</v>
      </c>
      <c r="J43" s="4" t="s">
        <v>168</v>
      </c>
      <c r="K43" s="4" t="s">
        <v>170</v>
      </c>
      <c r="L43" s="4" t="s">
        <v>172</v>
      </c>
      <c r="M43" s="4" t="s">
        <v>174</v>
      </c>
      <c r="N43" s="4" t="s">
        <v>176</v>
      </c>
      <c r="O43" s="4" t="s">
        <v>178</v>
      </c>
      <c r="P43" s="4" t="s">
        <v>180</v>
      </c>
      <c r="Q43" s="4" t="s">
        <v>221</v>
      </c>
      <c r="R43" s="4" t="s">
        <v>185</v>
      </c>
      <c r="S43" s="4" t="s">
        <v>187</v>
      </c>
      <c r="T43" s="4" t="s">
        <v>222</v>
      </c>
      <c r="U43" s="4" t="s">
        <v>223</v>
      </c>
      <c r="V43" s="4" t="s">
        <v>224</v>
      </c>
      <c r="W43" s="4" t="s">
        <v>225</v>
      </c>
      <c r="X43" s="4" t="s">
        <v>226</v>
      </c>
      <c r="Y43" s="4" t="s">
        <v>227</v>
      </c>
      <c r="Z43" s="4" t="s">
        <v>228</v>
      </c>
      <c r="AA43" s="4" t="s">
        <v>229</v>
      </c>
      <c r="AB43" s="4" t="s">
        <v>230</v>
      </c>
      <c r="AC43" s="4" t="s">
        <v>231</v>
      </c>
      <c r="AD43" s="4" t="s">
        <v>223</v>
      </c>
      <c r="AE43" s="4" t="s">
        <v>232</v>
      </c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</row>
    <row r="44" spans="1:82" ht="409.6" x14ac:dyDescent="0.4">
      <c r="A44" s="5" t="s">
        <v>158</v>
      </c>
      <c r="B44" s="5" t="s">
        <v>233</v>
      </c>
      <c r="C44" s="5" t="s">
        <v>10</v>
      </c>
      <c r="D44" s="5" t="s">
        <v>234</v>
      </c>
      <c r="E44" s="5" t="s">
        <v>235</v>
      </c>
      <c r="F44" s="5" t="s">
        <v>236</v>
      </c>
      <c r="G44" s="5" t="s">
        <v>237</v>
      </c>
      <c r="H44" s="5" t="s">
        <v>238</v>
      </c>
      <c r="I44" s="5" t="s">
        <v>239</v>
      </c>
      <c r="J44" s="5">
        <v>4</v>
      </c>
      <c r="K44" s="5">
        <v>3</v>
      </c>
      <c r="L44" s="5">
        <v>3</v>
      </c>
      <c r="M44" s="5">
        <v>3</v>
      </c>
      <c r="N44" s="5">
        <v>3</v>
      </c>
      <c r="O44" s="5">
        <v>4</v>
      </c>
      <c r="P44" s="5">
        <v>3</v>
      </c>
      <c r="Q44" s="5">
        <v>3</v>
      </c>
      <c r="R44" s="5">
        <v>3</v>
      </c>
      <c r="S44" s="5">
        <v>2</v>
      </c>
      <c r="T44" s="5">
        <v>2</v>
      </c>
      <c r="U44" s="5">
        <v>3</v>
      </c>
      <c r="V44" s="5">
        <v>1</v>
      </c>
      <c r="W44" s="5">
        <v>1</v>
      </c>
      <c r="X44" s="5">
        <v>3</v>
      </c>
      <c r="Y44" s="5">
        <v>1</v>
      </c>
      <c r="Z44" s="5">
        <v>4</v>
      </c>
      <c r="AA44" s="5">
        <v>1</v>
      </c>
      <c r="AB44" s="5">
        <v>2</v>
      </c>
      <c r="AC44" s="5">
        <v>1</v>
      </c>
      <c r="AD44" s="5">
        <v>1.75</v>
      </c>
      <c r="AE44" s="5" t="s">
        <v>240</v>
      </c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</row>
    <row r="45" spans="1:82" ht="409.6" x14ac:dyDescent="0.4">
      <c r="A45" s="5" t="s">
        <v>189</v>
      </c>
      <c r="B45" s="5"/>
      <c r="C45" s="5" t="s">
        <v>190</v>
      </c>
      <c r="D45" s="5" t="s">
        <v>241</v>
      </c>
      <c r="E45" s="5" t="s">
        <v>242</v>
      </c>
      <c r="F45" s="5" t="s">
        <v>243</v>
      </c>
      <c r="G45" s="5" t="s">
        <v>244</v>
      </c>
      <c r="H45" s="5" t="s">
        <v>245</v>
      </c>
      <c r="I45" s="5" t="s">
        <v>246</v>
      </c>
      <c r="J45" s="5">
        <v>3</v>
      </c>
      <c r="K45" s="5">
        <v>3</v>
      </c>
      <c r="L45" s="5">
        <v>4</v>
      </c>
      <c r="M45" s="5">
        <v>4</v>
      </c>
      <c r="N45" s="5">
        <v>1</v>
      </c>
      <c r="O45" s="5">
        <v>3</v>
      </c>
      <c r="P45" s="5">
        <v>4</v>
      </c>
      <c r="Q45" s="5">
        <v>3</v>
      </c>
      <c r="R45" s="5">
        <v>4</v>
      </c>
      <c r="S45" s="5">
        <v>2</v>
      </c>
      <c r="T45" s="5">
        <v>1</v>
      </c>
      <c r="U45" s="5">
        <v>2.9090909090909092</v>
      </c>
      <c r="V45" s="5">
        <v>1</v>
      </c>
      <c r="W45" s="5">
        <v>3</v>
      </c>
      <c r="X45" s="5">
        <v>3</v>
      </c>
      <c r="Y45" s="5">
        <v>1</v>
      </c>
      <c r="Z45" s="5">
        <v>4</v>
      </c>
      <c r="AA45" s="5">
        <v>1</v>
      </c>
      <c r="AB45" s="5">
        <v>3</v>
      </c>
      <c r="AC45" s="5">
        <v>1</v>
      </c>
      <c r="AD45" s="5">
        <v>2.125</v>
      </c>
      <c r="AE45" s="5" t="s">
        <v>247</v>
      </c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</row>
    <row r="46" spans="1:82" ht="409.6" x14ac:dyDescent="0.4">
      <c r="A46" s="5" t="s">
        <v>201</v>
      </c>
      <c r="B46" s="5"/>
      <c r="C46" s="5" t="s">
        <v>190</v>
      </c>
      <c r="D46" s="5" t="s">
        <v>248</v>
      </c>
      <c r="E46" s="5" t="s">
        <v>249</v>
      </c>
      <c r="F46" s="5" t="s">
        <v>250</v>
      </c>
      <c r="G46" s="5" t="s">
        <v>251</v>
      </c>
      <c r="H46" s="5" t="s">
        <v>252</v>
      </c>
      <c r="I46" s="5" t="s">
        <v>253</v>
      </c>
      <c r="J46" s="5">
        <v>4</v>
      </c>
      <c r="K46" s="5">
        <v>4</v>
      </c>
      <c r="L46" s="5">
        <v>4</v>
      </c>
      <c r="M46" s="5">
        <v>4</v>
      </c>
      <c r="N46" s="5">
        <v>4</v>
      </c>
      <c r="O46" s="5">
        <v>4</v>
      </c>
      <c r="P46" s="5">
        <v>4</v>
      </c>
      <c r="Q46" s="5">
        <v>4</v>
      </c>
      <c r="R46" s="5">
        <v>4</v>
      </c>
      <c r="S46" s="5">
        <v>3</v>
      </c>
      <c r="T46" s="5">
        <v>3</v>
      </c>
      <c r="U46" s="5">
        <v>3.8181818181818179</v>
      </c>
      <c r="V46" s="5">
        <v>3</v>
      </c>
      <c r="W46" s="5">
        <v>3</v>
      </c>
      <c r="X46" s="5">
        <v>4</v>
      </c>
      <c r="Y46" s="5">
        <v>3</v>
      </c>
      <c r="Z46" s="5">
        <v>4</v>
      </c>
      <c r="AA46" s="5">
        <v>3</v>
      </c>
      <c r="AB46" s="5">
        <v>3</v>
      </c>
      <c r="AC46" s="5">
        <v>3</v>
      </c>
      <c r="AD46" s="5">
        <v>3.25</v>
      </c>
      <c r="AE46" s="5" t="s">
        <v>254</v>
      </c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</row>
  </sheetData>
  <mergeCells count="3">
    <mergeCell ref="A2:H2"/>
    <mergeCell ref="A42:L42"/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63"/>
  <sheetViews>
    <sheetView showGridLines="0" topLeftCell="K1" zoomScale="125" zoomScaleNormal="130" workbookViewId="0">
      <selection activeCell="F6" sqref="F6"/>
    </sheetView>
  </sheetViews>
  <sheetFormatPr defaultColWidth="8.84375" defaultRowHeight="14.6" x14ac:dyDescent="0.4"/>
  <cols>
    <col min="1" max="1" width="12" customWidth="1"/>
    <col min="2" max="2" width="8" customWidth="1"/>
    <col min="3" max="3" width="14" customWidth="1"/>
    <col min="4" max="4" width="20" customWidth="1"/>
    <col min="5" max="5" width="35" customWidth="1"/>
    <col min="6" max="6" width="18" customWidth="1"/>
    <col min="7" max="8" width="10" customWidth="1"/>
    <col min="9" max="9" width="26" customWidth="1"/>
    <col min="10" max="10" width="12" customWidth="1"/>
    <col min="11" max="11" width="26" customWidth="1"/>
    <col min="12" max="14" width="12" customWidth="1"/>
    <col min="15" max="17" width="14" customWidth="1"/>
    <col min="18" max="18" width="34" customWidth="1"/>
    <col min="19" max="22" width="18" customWidth="1"/>
    <col min="23" max="23" width="60" customWidth="1"/>
  </cols>
  <sheetData>
    <row r="1" spans="1:23" ht="24" customHeight="1" x14ac:dyDescent="0.4">
      <c r="A1" s="30" t="s">
        <v>255</v>
      </c>
      <c r="B1" s="29"/>
      <c r="C1" s="29"/>
      <c r="D1" s="29"/>
      <c r="E1" s="29"/>
      <c r="F1" s="29"/>
      <c r="G1" s="29"/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4">
      <c r="A2" s="28" t="s">
        <v>256</v>
      </c>
      <c r="B2" s="29"/>
      <c r="C2" s="29"/>
      <c r="D2" s="29"/>
      <c r="E2" s="29"/>
      <c r="F2" s="29"/>
      <c r="G2" s="29"/>
      <c r="H2" s="29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25.75" x14ac:dyDescent="0.4">
      <c r="A4" s="4" t="s">
        <v>257</v>
      </c>
      <c r="B4" s="4" t="s">
        <v>258</v>
      </c>
      <c r="C4" s="4" t="s">
        <v>259</v>
      </c>
      <c r="D4" s="4" t="s">
        <v>260</v>
      </c>
      <c r="E4" s="4" t="s">
        <v>261</v>
      </c>
      <c r="F4" s="35" t="s">
        <v>262</v>
      </c>
      <c r="G4" s="35" t="s">
        <v>263</v>
      </c>
      <c r="H4" s="35" t="s">
        <v>264</v>
      </c>
      <c r="I4" s="4" t="s">
        <v>265</v>
      </c>
      <c r="J4" s="4" t="s">
        <v>266</v>
      </c>
      <c r="K4" s="4" t="s">
        <v>267</v>
      </c>
      <c r="L4" s="4" t="s">
        <v>268</v>
      </c>
      <c r="M4" s="4" t="s">
        <v>12</v>
      </c>
      <c r="N4" s="4" t="s">
        <v>269</v>
      </c>
      <c r="O4" s="4" t="s">
        <v>15</v>
      </c>
      <c r="P4" s="38" t="s">
        <v>412</v>
      </c>
      <c r="Q4" s="4" t="s">
        <v>270</v>
      </c>
      <c r="R4" s="4" t="s">
        <v>271</v>
      </c>
      <c r="S4" s="4" t="s">
        <v>272</v>
      </c>
      <c r="T4" s="4" t="s">
        <v>273</v>
      </c>
      <c r="U4" s="4" t="s">
        <v>274</v>
      </c>
      <c r="V4" s="4" t="s">
        <v>275</v>
      </c>
      <c r="W4" s="4" t="s">
        <v>276</v>
      </c>
    </row>
    <row r="5" spans="1:23" x14ac:dyDescent="0.4">
      <c r="A5" s="5">
        <v>2</v>
      </c>
      <c r="B5" s="5">
        <v>1</v>
      </c>
      <c r="C5" s="5" t="s">
        <v>18</v>
      </c>
      <c r="D5" s="5" t="s">
        <v>277</v>
      </c>
      <c r="E5" s="5" t="s">
        <v>278</v>
      </c>
      <c r="F5" s="37" t="s">
        <v>279</v>
      </c>
      <c r="G5" s="5" t="s">
        <v>21</v>
      </c>
      <c r="H5" s="5" t="s">
        <v>21</v>
      </c>
      <c r="I5" s="7" t="str">
        <f>IF(G5="","",IFERROR(VLOOKUP(G5,'Note e assunzioni'!$A$23:$B$32,2,FALSE),"Codice non mappato"))</f>
        <v/>
      </c>
      <c r="J5" s="13">
        <f t="shared" ref="J5:J36" si="0">IF(Q5="Sì",IF(H5="",1,0.7),0)</f>
        <v>0</v>
      </c>
      <c r="K5" s="7" t="str">
        <f>IF(H5="","",IFERROR(VLOOKUP(H5,'Note e assunzioni'!$A$23:$B$32,2,FALSE),"Codice non mappato"))</f>
        <v/>
      </c>
      <c r="L5" s="13">
        <f t="shared" ref="L5:L36" si="1">IF(Q5="Sì",IF(H5="",0,0.3),0)</f>
        <v>0</v>
      </c>
      <c r="M5" s="14">
        <v>1</v>
      </c>
      <c r="N5" s="14">
        <v>1</v>
      </c>
      <c r="O5" s="13">
        <f>IFERROR(INDEX('Input survey A'!$C$12:$C$67,MATCH(C5,'Input survey A'!$A$12:$A$67,0)),"")</f>
        <v>3</v>
      </c>
      <c r="P5" s="39"/>
      <c r="Q5" s="7" t="str">
        <f t="shared" ref="Q5:Q36" si="2">IF(F5="MAT","No",IF(G5="","No",IF(M5="","No",IF(OR(NOT(ISNUMBER(O5)),O5&lt;1,O5&gt;4),"No","Sì"))))</f>
        <v>No</v>
      </c>
      <c r="R5" s="7" t="str">
        <f t="shared" ref="R5:R36" si="3">IF(F5="MAT","MAT - esclusa dal calcolo matrice",IF(G5="","Cod. 1 assente",IF(M5="","Peso PMI assente/non numerico",IF(NOT(ISNUMBER(O5)),"Risposta assente/non numerica",IF(OR(O5&lt;1,O5&gt;4),"Risposta fuori scala","Inclusa")))))</f>
        <v>MAT - esclusa dal calcolo matrice</v>
      </c>
      <c r="S5" s="13">
        <f t="shared" ref="S5:S36" si="4">IF(Q5="Sì",O5*M5*J5,0)</f>
        <v>0</v>
      </c>
      <c r="T5" s="13">
        <f t="shared" ref="T5:T36" si="5">IF(Q5="Sì",M5*J5,0)</f>
        <v>0</v>
      </c>
      <c r="U5" s="13">
        <f t="shared" ref="U5:U36" si="6">IF(Q5="Sì",O5*M5*L5,0)</f>
        <v>0</v>
      </c>
      <c r="V5" s="13">
        <f t="shared" ref="V5:V36" si="7">IF(Q5="Sì",M5*L5,0)</f>
        <v>0</v>
      </c>
      <c r="W5" s="7" t="s">
        <v>21</v>
      </c>
    </row>
    <row r="6" spans="1:23" x14ac:dyDescent="0.4">
      <c r="A6" s="5">
        <v>3</v>
      </c>
      <c r="B6" s="5">
        <v>2</v>
      </c>
      <c r="C6" s="5" t="s">
        <v>22</v>
      </c>
      <c r="D6" s="5" t="s">
        <v>277</v>
      </c>
      <c r="E6" s="5" t="s">
        <v>278</v>
      </c>
      <c r="F6" s="5" t="s">
        <v>280</v>
      </c>
      <c r="G6" s="5" t="s">
        <v>280</v>
      </c>
      <c r="H6" s="5" t="s">
        <v>21</v>
      </c>
      <c r="I6" s="7" t="str">
        <f>IF(G6="","",IFERROR(VLOOKUP(G6,'Note e assunzioni'!$A$23:$B$32,2,FALSE),"Codice non mappato"))</f>
        <v>Employees Engagement</v>
      </c>
      <c r="J6" s="13">
        <f t="shared" si="0"/>
        <v>1</v>
      </c>
      <c r="K6" s="7" t="str">
        <f>IF(H6="","",IFERROR(VLOOKUP(H6,'Note e assunzioni'!$A$23:$B$32,2,FALSE),"Codice non mappato"))</f>
        <v/>
      </c>
      <c r="L6" s="13">
        <f t="shared" si="1"/>
        <v>0</v>
      </c>
      <c r="M6" s="14">
        <v>3</v>
      </c>
      <c r="N6" s="14">
        <v>2.5</v>
      </c>
      <c r="O6" s="13">
        <f>IFERROR(INDEX('Input survey A'!$C$12:$C$67,MATCH(C6,'Input survey A'!$A$12:$A$67,0)),"")</f>
        <v>1</v>
      </c>
      <c r="P6" s="39"/>
      <c r="Q6" s="7" t="str">
        <f t="shared" si="2"/>
        <v>Sì</v>
      </c>
      <c r="R6" s="7" t="str">
        <f t="shared" si="3"/>
        <v>Inclusa</v>
      </c>
      <c r="S6" s="13">
        <f>IF(Q6="Sì",O6*M6*J6,0)</f>
        <v>3</v>
      </c>
      <c r="T6" s="13">
        <f t="shared" si="5"/>
        <v>3</v>
      </c>
      <c r="U6" s="13">
        <f t="shared" si="6"/>
        <v>0</v>
      </c>
      <c r="V6" s="13">
        <f t="shared" si="7"/>
        <v>0</v>
      </c>
      <c r="W6" s="7" t="s">
        <v>21</v>
      </c>
    </row>
    <row r="7" spans="1:23" x14ac:dyDescent="0.4">
      <c r="A7" s="5">
        <v>4</v>
      </c>
      <c r="B7" s="5">
        <v>3</v>
      </c>
      <c r="C7" s="5" t="s">
        <v>24</v>
      </c>
      <c r="D7" s="5" t="s">
        <v>277</v>
      </c>
      <c r="E7" s="5" t="s">
        <v>278</v>
      </c>
      <c r="F7" s="5" t="s">
        <v>281</v>
      </c>
      <c r="G7" s="5" t="s">
        <v>280</v>
      </c>
      <c r="H7" s="5" t="s">
        <v>282</v>
      </c>
      <c r="I7" s="7" t="str">
        <f>IF(G7="","",IFERROR(VLOOKUP(G7,'Note e assunzioni'!$A$23:$B$32,2,FALSE),"Codice non mappato"))</f>
        <v>Employees Engagement</v>
      </c>
      <c r="J7" s="13">
        <f t="shared" si="0"/>
        <v>0.7</v>
      </c>
      <c r="K7" s="7" t="str">
        <f>IF(H7="","",IFERROR(VLOOKUP(H7,'Note e assunzioni'!$A$23:$B$32,2,FALSE),"Codice non mappato"))</f>
        <v>Non-discrimination</v>
      </c>
      <c r="L7" s="13">
        <f t="shared" si="1"/>
        <v>0.3</v>
      </c>
      <c r="M7" s="14">
        <v>3</v>
      </c>
      <c r="N7" s="14">
        <v>2</v>
      </c>
      <c r="O7" s="13">
        <f>IFERROR(INDEX('Input survey A'!$C$12:$C$67,MATCH(C7,'Input survey A'!$A$12:$A$67,0)),"")</f>
        <v>3</v>
      </c>
      <c r="P7" s="39"/>
      <c r="Q7" s="7" t="str">
        <f t="shared" si="2"/>
        <v>Sì</v>
      </c>
      <c r="R7" s="7" t="str">
        <f t="shared" si="3"/>
        <v>Inclusa</v>
      </c>
      <c r="S7" s="13">
        <f>IF(Q7="Sì",O7*M7*J7,0)</f>
        <v>6.3</v>
      </c>
      <c r="T7" s="13">
        <f t="shared" si="5"/>
        <v>2.0999999999999996</v>
      </c>
      <c r="U7" s="13">
        <f t="shared" si="6"/>
        <v>2.6999999999999997</v>
      </c>
      <c r="V7" s="13">
        <f t="shared" si="7"/>
        <v>0.89999999999999991</v>
      </c>
      <c r="W7" s="7" t="s">
        <v>21</v>
      </c>
    </row>
    <row r="8" spans="1:23" x14ac:dyDescent="0.4">
      <c r="A8" s="5">
        <v>5</v>
      </c>
      <c r="B8" s="5">
        <v>4</v>
      </c>
      <c r="C8" s="5" t="s">
        <v>26</v>
      </c>
      <c r="D8" s="5" t="s">
        <v>277</v>
      </c>
      <c r="E8" s="5" t="s">
        <v>283</v>
      </c>
      <c r="F8" s="5" t="s">
        <v>282</v>
      </c>
      <c r="G8" s="5" t="s">
        <v>282</v>
      </c>
      <c r="H8" s="5" t="s">
        <v>21</v>
      </c>
      <c r="I8" s="7" t="str">
        <f>IF(G8="","",IFERROR(VLOOKUP(G8,'Note e assunzioni'!$A$23:$B$32,2,FALSE),"Codice non mappato"))</f>
        <v>Non-discrimination</v>
      </c>
      <c r="J8" s="13">
        <f t="shared" si="0"/>
        <v>1</v>
      </c>
      <c r="K8" s="7" t="str">
        <f>IF(H8="","",IFERROR(VLOOKUP(H8,'Note e assunzioni'!$A$23:$B$32,2,FALSE),"Codice non mappato"))</f>
        <v/>
      </c>
      <c r="L8" s="13">
        <f t="shared" si="1"/>
        <v>0</v>
      </c>
      <c r="M8" s="14">
        <v>1</v>
      </c>
      <c r="N8" s="14">
        <v>1</v>
      </c>
      <c r="O8" s="13">
        <f>IFERROR(INDEX('Input survey A'!$C$12:$C$67,MATCH(C8,'Input survey A'!$A$12:$A$67,0)),"")</f>
        <v>2</v>
      </c>
      <c r="P8" s="39"/>
      <c r="Q8" s="7" t="str">
        <f t="shared" si="2"/>
        <v>Sì</v>
      </c>
      <c r="R8" s="7" t="str">
        <f t="shared" si="3"/>
        <v>Inclusa</v>
      </c>
      <c r="S8" s="13">
        <f t="shared" si="4"/>
        <v>2</v>
      </c>
      <c r="T8" s="13">
        <f t="shared" si="5"/>
        <v>1</v>
      </c>
      <c r="U8" s="13">
        <f t="shared" si="6"/>
        <v>0</v>
      </c>
      <c r="V8" s="13">
        <f t="shared" si="7"/>
        <v>0</v>
      </c>
      <c r="W8" s="7" t="s">
        <v>21</v>
      </c>
    </row>
    <row r="9" spans="1:23" x14ac:dyDescent="0.4">
      <c r="A9" s="5">
        <v>6</v>
      </c>
      <c r="B9" s="5">
        <v>5</v>
      </c>
      <c r="C9" s="5" t="s">
        <v>28</v>
      </c>
      <c r="D9" s="5" t="s">
        <v>277</v>
      </c>
      <c r="E9" s="5" t="s">
        <v>283</v>
      </c>
      <c r="F9" s="36" t="s">
        <v>279</v>
      </c>
      <c r="G9" s="5" t="s">
        <v>21</v>
      </c>
      <c r="H9" s="5" t="s">
        <v>21</v>
      </c>
      <c r="I9" s="7" t="str">
        <f>IF(G9="","",IFERROR(VLOOKUP(G9,'Note e assunzioni'!$A$23:$B$32,2,FALSE),"Codice non mappato"))</f>
        <v/>
      </c>
      <c r="J9" s="13">
        <f t="shared" si="0"/>
        <v>0</v>
      </c>
      <c r="K9" s="7" t="str">
        <f>IF(H9="","",IFERROR(VLOOKUP(H9,'Note e assunzioni'!$A$23:$B$32,2,FALSE),"Codice non mappato"))</f>
        <v/>
      </c>
      <c r="L9" s="13">
        <f t="shared" si="1"/>
        <v>0</v>
      </c>
      <c r="M9" s="14">
        <v>2.5</v>
      </c>
      <c r="N9" s="14">
        <v>1.5</v>
      </c>
      <c r="O9" s="13">
        <f>IFERROR(INDEX('Input survey A'!$C$12:$C$67,MATCH(C9,'Input survey A'!$A$12:$A$67,0)),"")</f>
        <v>4</v>
      </c>
      <c r="P9" s="39"/>
      <c r="Q9" s="7" t="str">
        <f t="shared" si="2"/>
        <v>No</v>
      </c>
      <c r="R9" s="7" t="str">
        <f t="shared" si="3"/>
        <v>MAT - esclusa dal calcolo matrice</v>
      </c>
      <c r="S9" s="13">
        <f t="shared" si="4"/>
        <v>0</v>
      </c>
      <c r="T9" s="13">
        <f t="shared" si="5"/>
        <v>0</v>
      </c>
      <c r="U9" s="13">
        <f t="shared" si="6"/>
        <v>0</v>
      </c>
      <c r="V9" s="13">
        <f t="shared" si="7"/>
        <v>0</v>
      </c>
      <c r="W9" s="7" t="s">
        <v>21</v>
      </c>
    </row>
    <row r="10" spans="1:23" x14ac:dyDescent="0.4">
      <c r="A10" s="5">
        <v>7</v>
      </c>
      <c r="B10" s="5">
        <v>6</v>
      </c>
      <c r="C10" s="5" t="s">
        <v>30</v>
      </c>
      <c r="D10" s="5" t="s">
        <v>284</v>
      </c>
      <c r="E10" s="5" t="s">
        <v>285</v>
      </c>
      <c r="F10" s="5" t="s">
        <v>280</v>
      </c>
      <c r="G10" s="5" t="s">
        <v>280</v>
      </c>
      <c r="H10" s="5" t="s">
        <v>21</v>
      </c>
      <c r="I10" s="7" t="str">
        <f>IF(G10="","",IFERROR(VLOOKUP(G10,'Note e assunzioni'!$A$23:$B$32,2,FALSE),"Codice non mappato"))</f>
        <v>Employees Engagement</v>
      </c>
      <c r="J10" s="13">
        <f t="shared" si="0"/>
        <v>1</v>
      </c>
      <c r="K10" s="7" t="str">
        <f>IF(H10="","",IFERROR(VLOOKUP(H10,'Note e assunzioni'!$A$23:$B$32,2,FALSE),"Codice non mappato"))</f>
        <v/>
      </c>
      <c r="L10" s="13">
        <f t="shared" si="1"/>
        <v>0</v>
      </c>
      <c r="M10" s="14">
        <v>1.5</v>
      </c>
      <c r="N10" s="14">
        <v>1</v>
      </c>
      <c r="O10" s="13">
        <f>IFERROR(INDEX('Input survey A'!$C$12:$C$67,MATCH(C10,'Input survey A'!$A$12:$A$67,0)),"")</f>
        <v>2</v>
      </c>
      <c r="P10" s="39"/>
      <c r="Q10" s="7" t="str">
        <f t="shared" si="2"/>
        <v>Sì</v>
      </c>
      <c r="R10" s="7" t="str">
        <f t="shared" si="3"/>
        <v>Inclusa</v>
      </c>
      <c r="S10" s="13">
        <f t="shared" si="4"/>
        <v>3</v>
      </c>
      <c r="T10" s="13">
        <f t="shared" si="5"/>
        <v>1.5</v>
      </c>
      <c r="U10" s="13">
        <f t="shared" si="6"/>
        <v>0</v>
      </c>
      <c r="V10" s="13">
        <f t="shared" si="7"/>
        <v>0</v>
      </c>
      <c r="W10" s="7" t="s">
        <v>21</v>
      </c>
    </row>
    <row r="11" spans="1:23" x14ac:dyDescent="0.4">
      <c r="A11" s="5">
        <v>8</v>
      </c>
      <c r="B11" s="5">
        <v>7</v>
      </c>
      <c r="C11" s="5" t="s">
        <v>32</v>
      </c>
      <c r="D11" s="5" t="s">
        <v>284</v>
      </c>
      <c r="E11" s="5" t="s">
        <v>286</v>
      </c>
      <c r="F11" s="5" t="s">
        <v>287</v>
      </c>
      <c r="G11" s="5" t="s">
        <v>288</v>
      </c>
      <c r="H11" s="5" t="s">
        <v>21</v>
      </c>
      <c r="I11" s="7" t="str">
        <f>IF(G11="","",IFERROR(VLOOKUP(G11,'Note e assunzioni'!$A$23:$B$32,2,FALSE),"Codice non mappato"))</f>
        <v>Education &amp; Training</v>
      </c>
      <c r="J11" s="13">
        <f t="shared" si="0"/>
        <v>1</v>
      </c>
      <c r="K11" s="7" t="str">
        <f>IF(H11="","",IFERROR(VLOOKUP(H11,'Note e assunzioni'!$A$23:$B$32,2,FALSE),"Codice non mappato"))</f>
        <v/>
      </c>
      <c r="L11" s="13">
        <f t="shared" si="1"/>
        <v>0</v>
      </c>
      <c r="M11" s="14">
        <v>2.5</v>
      </c>
      <c r="N11" s="14">
        <v>1.5</v>
      </c>
      <c r="O11" s="13">
        <f>IFERROR(INDEX('Input survey A'!$C$12:$C$67,MATCH(C11,'Input survey A'!$A$12:$A$67,0)),"")</f>
        <v>2</v>
      </c>
      <c r="P11" s="39"/>
      <c r="Q11" s="7" t="str">
        <f t="shared" si="2"/>
        <v>Sì</v>
      </c>
      <c r="R11" s="7" t="str">
        <f t="shared" si="3"/>
        <v>Inclusa</v>
      </c>
      <c r="S11" s="13">
        <f t="shared" si="4"/>
        <v>5</v>
      </c>
      <c r="T11" s="13">
        <f t="shared" si="5"/>
        <v>2.5</v>
      </c>
      <c r="U11" s="13">
        <f t="shared" si="6"/>
        <v>0</v>
      </c>
      <c r="V11" s="13">
        <f t="shared" si="7"/>
        <v>0</v>
      </c>
      <c r="W11" s="7" t="s">
        <v>21</v>
      </c>
    </row>
    <row r="12" spans="1:23" x14ac:dyDescent="0.4">
      <c r="A12" s="5">
        <v>9</v>
      </c>
      <c r="B12" s="5">
        <v>8</v>
      </c>
      <c r="C12" s="5" t="s">
        <v>34</v>
      </c>
      <c r="D12" s="5" t="s">
        <v>284</v>
      </c>
      <c r="E12" s="5" t="s">
        <v>286</v>
      </c>
      <c r="F12" s="5" t="s">
        <v>289</v>
      </c>
      <c r="G12" s="5" t="s">
        <v>290</v>
      </c>
      <c r="H12" s="5" t="s">
        <v>21</v>
      </c>
      <c r="I12" s="7" t="str">
        <f>IF(G12="","",IFERROR(VLOOKUP(G12,'Note e assunzioni'!$A$23:$B$32,2,FALSE),"Codice non mappato"))</f>
        <v>Employment</v>
      </c>
      <c r="J12" s="13">
        <f t="shared" si="0"/>
        <v>1</v>
      </c>
      <c r="K12" s="7" t="str">
        <f>IF(H12="","",IFERROR(VLOOKUP(H12,'Note e assunzioni'!$A$23:$B$32,2,FALSE),"Codice non mappato"))</f>
        <v/>
      </c>
      <c r="L12" s="13">
        <f t="shared" si="1"/>
        <v>0</v>
      </c>
      <c r="M12" s="14">
        <v>1</v>
      </c>
      <c r="N12" s="14">
        <v>1</v>
      </c>
      <c r="O12" s="13">
        <f>IFERROR(INDEX('Input survey A'!$C$12:$C$67,MATCH(C12,'Input survey A'!$A$12:$A$67,0)),"")</f>
        <v>3</v>
      </c>
      <c r="P12" s="39"/>
      <c r="Q12" s="7" t="str">
        <f t="shared" si="2"/>
        <v>Sì</v>
      </c>
      <c r="R12" s="7" t="str">
        <f t="shared" si="3"/>
        <v>Inclusa</v>
      </c>
      <c r="S12" s="13">
        <f t="shared" si="4"/>
        <v>3</v>
      </c>
      <c r="T12" s="13">
        <f t="shared" si="5"/>
        <v>1</v>
      </c>
      <c r="U12" s="13">
        <f t="shared" si="6"/>
        <v>0</v>
      </c>
      <c r="V12" s="13">
        <f t="shared" si="7"/>
        <v>0</v>
      </c>
      <c r="W12" s="7" t="s">
        <v>21</v>
      </c>
    </row>
    <row r="13" spans="1:23" x14ac:dyDescent="0.4">
      <c r="A13" s="5">
        <v>10</v>
      </c>
      <c r="B13" s="5">
        <v>9</v>
      </c>
      <c r="C13" s="5" t="s">
        <v>36</v>
      </c>
      <c r="D13" s="5" t="s">
        <v>284</v>
      </c>
      <c r="E13" s="5" t="s">
        <v>286</v>
      </c>
      <c r="F13" s="5" t="s">
        <v>291</v>
      </c>
      <c r="G13" s="5" t="s">
        <v>290</v>
      </c>
      <c r="H13" s="5" t="s">
        <v>21</v>
      </c>
      <c r="I13" s="7" t="str">
        <f>IF(G13="","",IFERROR(VLOOKUP(G13,'Note e assunzioni'!$A$23:$B$32,2,FALSE),"Codice non mappato"))</f>
        <v>Employment</v>
      </c>
      <c r="J13" s="13">
        <f t="shared" si="0"/>
        <v>1</v>
      </c>
      <c r="K13" s="7" t="str">
        <f>IF(H13="","",IFERROR(VLOOKUP(H13,'Note e assunzioni'!$A$23:$B$32,2,FALSE),"Codice non mappato"))</f>
        <v/>
      </c>
      <c r="L13" s="13">
        <f t="shared" si="1"/>
        <v>0</v>
      </c>
      <c r="M13" s="14">
        <v>3</v>
      </c>
      <c r="N13" s="14">
        <v>2</v>
      </c>
      <c r="O13" s="13">
        <f>IFERROR(INDEX('Input survey A'!$C$12:$C$67,MATCH(C13,'Input survey A'!$A$12:$A$67,0)),"")</f>
        <v>1</v>
      </c>
      <c r="P13" s="39"/>
      <c r="Q13" s="7" t="str">
        <f t="shared" si="2"/>
        <v>Sì</v>
      </c>
      <c r="R13" s="7" t="str">
        <f t="shared" si="3"/>
        <v>Inclusa</v>
      </c>
      <c r="S13" s="13">
        <f t="shared" si="4"/>
        <v>3</v>
      </c>
      <c r="T13" s="13">
        <f t="shared" si="5"/>
        <v>3</v>
      </c>
      <c r="U13" s="13">
        <f t="shared" si="6"/>
        <v>0</v>
      </c>
      <c r="V13" s="13">
        <f t="shared" si="7"/>
        <v>0</v>
      </c>
      <c r="W13" s="7" t="s">
        <v>21</v>
      </c>
    </row>
    <row r="14" spans="1:23" x14ac:dyDescent="0.4">
      <c r="A14" s="5">
        <v>11</v>
      </c>
      <c r="B14" s="5">
        <v>10</v>
      </c>
      <c r="C14" s="5" t="s">
        <v>38</v>
      </c>
      <c r="D14" s="5" t="s">
        <v>284</v>
      </c>
      <c r="E14" s="5" t="s">
        <v>286</v>
      </c>
      <c r="F14" s="5" t="s">
        <v>292</v>
      </c>
      <c r="G14" s="5" t="s">
        <v>290</v>
      </c>
      <c r="H14" s="5" t="s">
        <v>21</v>
      </c>
      <c r="I14" s="7" t="str">
        <f>IF(G14="","",IFERROR(VLOOKUP(G14,'Note e assunzioni'!$A$23:$B$32,2,FALSE),"Codice non mappato"))</f>
        <v>Employment</v>
      </c>
      <c r="J14" s="13">
        <f t="shared" si="0"/>
        <v>1</v>
      </c>
      <c r="K14" s="7" t="str">
        <f>IF(H14="","",IFERROR(VLOOKUP(H14,'Note e assunzioni'!$A$23:$B$32,2,FALSE),"Codice non mappato"))</f>
        <v/>
      </c>
      <c r="L14" s="13">
        <f t="shared" si="1"/>
        <v>0</v>
      </c>
      <c r="M14" s="14">
        <v>3</v>
      </c>
      <c r="N14" s="14">
        <v>3</v>
      </c>
      <c r="O14" s="13">
        <f>IFERROR(INDEX('Input survey A'!$C$12:$C$67,MATCH(C14,'Input survey A'!$A$12:$A$67,0)),"")</f>
        <v>2</v>
      </c>
      <c r="P14" s="39"/>
      <c r="Q14" s="7" t="str">
        <f t="shared" si="2"/>
        <v>Sì</v>
      </c>
      <c r="R14" s="7" t="str">
        <f t="shared" si="3"/>
        <v>Inclusa</v>
      </c>
      <c r="S14" s="13">
        <f t="shared" si="4"/>
        <v>6</v>
      </c>
      <c r="T14" s="13">
        <f t="shared" si="5"/>
        <v>3</v>
      </c>
      <c r="U14" s="13">
        <f t="shared" si="6"/>
        <v>0</v>
      </c>
      <c r="V14" s="13">
        <f t="shared" si="7"/>
        <v>0</v>
      </c>
      <c r="W14" s="7" t="s">
        <v>21</v>
      </c>
    </row>
    <row r="15" spans="1:23" x14ac:dyDescent="0.4">
      <c r="A15" s="5">
        <v>12</v>
      </c>
      <c r="B15" s="5">
        <v>11</v>
      </c>
      <c r="C15" s="5" t="s">
        <v>40</v>
      </c>
      <c r="D15" s="5" t="s">
        <v>284</v>
      </c>
      <c r="E15" s="5" t="s">
        <v>286</v>
      </c>
      <c r="F15" s="5" t="s">
        <v>293</v>
      </c>
      <c r="G15" s="5" t="s">
        <v>170</v>
      </c>
      <c r="H15" s="5" t="s">
        <v>21</v>
      </c>
      <c r="I15" s="7" t="str">
        <f>IF(G15="","",IFERROR(VLOOKUP(G15,'Note e assunzioni'!$A$23:$B$32,2,FALSE),"Codice non mappato"))</f>
        <v>HR</v>
      </c>
      <c r="J15" s="13">
        <f t="shared" si="0"/>
        <v>1</v>
      </c>
      <c r="K15" s="7" t="str">
        <f>IF(H15="","",IFERROR(VLOOKUP(H15,'Note e assunzioni'!$A$23:$B$32,2,FALSE),"Codice non mappato"))</f>
        <v/>
      </c>
      <c r="L15" s="13">
        <f t="shared" si="1"/>
        <v>0</v>
      </c>
      <c r="M15" s="14">
        <v>2</v>
      </c>
      <c r="N15" s="14">
        <v>1</v>
      </c>
      <c r="O15" s="13">
        <f>IFERROR(INDEX('Input survey A'!$C$12:$C$67,MATCH(C15,'Input survey A'!$A$12:$A$67,0)),"")</f>
        <v>2</v>
      </c>
      <c r="P15" s="39"/>
      <c r="Q15" s="7" t="str">
        <f t="shared" si="2"/>
        <v>Sì</v>
      </c>
      <c r="R15" s="7" t="str">
        <f t="shared" si="3"/>
        <v>Inclusa</v>
      </c>
      <c r="S15" s="13">
        <f t="shared" si="4"/>
        <v>4</v>
      </c>
      <c r="T15" s="13">
        <f t="shared" si="5"/>
        <v>2</v>
      </c>
      <c r="U15" s="13">
        <f t="shared" si="6"/>
        <v>0</v>
      </c>
      <c r="V15" s="13">
        <f t="shared" si="7"/>
        <v>0</v>
      </c>
      <c r="W15" s="7" t="s">
        <v>21</v>
      </c>
    </row>
    <row r="16" spans="1:23" x14ac:dyDescent="0.4">
      <c r="A16" s="5">
        <v>13</v>
      </c>
      <c r="B16" s="5">
        <v>12</v>
      </c>
      <c r="C16" s="5" t="s">
        <v>42</v>
      </c>
      <c r="D16" s="5" t="s">
        <v>284</v>
      </c>
      <c r="E16" s="5" t="s">
        <v>286</v>
      </c>
      <c r="F16" s="5" t="s">
        <v>294</v>
      </c>
      <c r="G16" s="5" t="s">
        <v>288</v>
      </c>
      <c r="H16" s="5" t="s">
        <v>21</v>
      </c>
      <c r="I16" s="7" t="str">
        <f>IF(G16="","",IFERROR(VLOOKUP(G16,'Note e assunzioni'!$A$23:$B$32,2,FALSE),"Codice non mappato"))</f>
        <v>Education &amp; Training</v>
      </c>
      <c r="J16" s="13">
        <f t="shared" si="0"/>
        <v>1</v>
      </c>
      <c r="K16" s="7" t="str">
        <f>IF(H16="","",IFERROR(VLOOKUP(H16,'Note e assunzioni'!$A$23:$B$32,2,FALSE),"Codice non mappato"))</f>
        <v/>
      </c>
      <c r="L16" s="13">
        <f t="shared" si="1"/>
        <v>0</v>
      </c>
      <c r="M16" s="14">
        <v>2</v>
      </c>
      <c r="N16" s="14">
        <v>1.5</v>
      </c>
      <c r="O16" s="13">
        <f>IFERROR(INDEX('Input survey A'!$C$12:$C$67,MATCH(C16,'Input survey A'!$A$12:$A$67,0)),"")</f>
        <v>1</v>
      </c>
      <c r="P16" s="39"/>
      <c r="Q16" s="7" t="str">
        <f t="shared" si="2"/>
        <v>Sì</v>
      </c>
      <c r="R16" s="7" t="str">
        <f t="shared" si="3"/>
        <v>Inclusa</v>
      </c>
      <c r="S16" s="13">
        <f t="shared" si="4"/>
        <v>2</v>
      </c>
      <c r="T16" s="13">
        <f t="shared" si="5"/>
        <v>2</v>
      </c>
      <c r="U16" s="13">
        <f t="shared" si="6"/>
        <v>0</v>
      </c>
      <c r="V16" s="13">
        <f t="shared" si="7"/>
        <v>0</v>
      </c>
      <c r="W16" s="7" t="s">
        <v>21</v>
      </c>
    </row>
    <row r="17" spans="1:23" x14ac:dyDescent="0.4">
      <c r="A17" s="5">
        <v>14</v>
      </c>
      <c r="B17" s="5">
        <v>13</v>
      </c>
      <c r="C17" s="5" t="s">
        <v>44</v>
      </c>
      <c r="D17" s="5" t="s">
        <v>277</v>
      </c>
      <c r="E17" s="5" t="s">
        <v>295</v>
      </c>
      <c r="F17" s="5" t="s">
        <v>296</v>
      </c>
      <c r="G17" s="5" t="s">
        <v>288</v>
      </c>
      <c r="H17" s="5" t="s">
        <v>21</v>
      </c>
      <c r="I17" s="7" t="str">
        <f>IF(G17="","",IFERROR(VLOOKUP(G17,'Note e assunzioni'!$A$23:$B$32,2,FALSE),"Codice non mappato"))</f>
        <v>Education &amp; Training</v>
      </c>
      <c r="J17" s="13">
        <f t="shared" si="0"/>
        <v>1</v>
      </c>
      <c r="K17" s="7" t="str">
        <f>IF(H17="","",IFERROR(VLOOKUP(H17,'Note e assunzioni'!$A$23:$B$32,2,FALSE),"Codice non mappato"))</f>
        <v/>
      </c>
      <c r="L17" s="13">
        <f t="shared" si="1"/>
        <v>0</v>
      </c>
      <c r="M17" s="14">
        <v>3</v>
      </c>
      <c r="N17" s="14">
        <v>1.5</v>
      </c>
      <c r="O17" s="13">
        <f>IFERROR(INDEX('Input survey A'!$C$12:$C$67,MATCH(C17,'Input survey A'!$A$12:$A$67,0)),"")</f>
        <v>2</v>
      </c>
      <c r="P17" s="39"/>
      <c r="Q17" s="7" t="str">
        <f t="shared" si="2"/>
        <v>Sì</v>
      </c>
      <c r="R17" s="7" t="str">
        <f t="shared" si="3"/>
        <v>Inclusa</v>
      </c>
      <c r="S17" s="13">
        <f t="shared" si="4"/>
        <v>6</v>
      </c>
      <c r="T17" s="13">
        <f t="shared" si="5"/>
        <v>3</v>
      </c>
      <c r="U17" s="13">
        <f t="shared" si="6"/>
        <v>0</v>
      </c>
      <c r="V17" s="13">
        <f t="shared" si="7"/>
        <v>0</v>
      </c>
      <c r="W17" s="7" t="s">
        <v>21</v>
      </c>
    </row>
    <row r="18" spans="1:23" x14ac:dyDescent="0.4">
      <c r="A18" s="5">
        <v>15</v>
      </c>
      <c r="B18" s="5">
        <v>14</v>
      </c>
      <c r="C18" s="5" t="s">
        <v>46</v>
      </c>
      <c r="D18" s="5" t="s">
        <v>284</v>
      </c>
      <c r="E18" s="5" t="s">
        <v>286</v>
      </c>
      <c r="F18" s="5" t="s">
        <v>297</v>
      </c>
      <c r="G18" s="5" t="s">
        <v>170</v>
      </c>
      <c r="H18" s="5" t="s">
        <v>290</v>
      </c>
      <c r="I18" s="7" t="str">
        <f>IF(G18="","",IFERROR(VLOOKUP(G18,'Note e assunzioni'!$A$23:$B$32,2,FALSE),"Codice non mappato"))</f>
        <v>HR</v>
      </c>
      <c r="J18" s="13">
        <f t="shared" si="0"/>
        <v>0.7</v>
      </c>
      <c r="K18" s="7" t="str">
        <f>IF(H18="","",IFERROR(VLOOKUP(H18,'Note e assunzioni'!$A$23:$B$32,2,FALSE),"Codice non mappato"))</f>
        <v>Employment</v>
      </c>
      <c r="L18" s="13">
        <f t="shared" si="1"/>
        <v>0.3</v>
      </c>
      <c r="M18" s="14">
        <v>2.5</v>
      </c>
      <c r="N18" s="14">
        <v>1.5</v>
      </c>
      <c r="O18" s="13">
        <f>IFERROR(INDEX('Input survey A'!$C$12:$C$67,MATCH(C18,'Input survey A'!$A$12:$A$67,0)),"")</f>
        <v>4</v>
      </c>
      <c r="P18" s="39"/>
      <c r="Q18" s="7" t="str">
        <f t="shared" si="2"/>
        <v>Sì</v>
      </c>
      <c r="R18" s="7" t="str">
        <f t="shared" si="3"/>
        <v>Inclusa</v>
      </c>
      <c r="S18" s="13">
        <f t="shared" si="4"/>
        <v>7</v>
      </c>
      <c r="T18" s="13">
        <f t="shared" si="5"/>
        <v>1.75</v>
      </c>
      <c r="U18" s="13">
        <f t="shared" si="6"/>
        <v>3</v>
      </c>
      <c r="V18" s="13">
        <f t="shared" si="7"/>
        <v>0.75</v>
      </c>
      <c r="W18" s="7" t="s">
        <v>21</v>
      </c>
    </row>
    <row r="19" spans="1:23" x14ac:dyDescent="0.4">
      <c r="A19" s="5">
        <v>16</v>
      </c>
      <c r="B19" s="5">
        <v>15</v>
      </c>
      <c r="C19" s="5" t="s">
        <v>48</v>
      </c>
      <c r="D19" s="5" t="s">
        <v>284</v>
      </c>
      <c r="E19" s="5" t="s">
        <v>286</v>
      </c>
      <c r="F19" s="5" t="s">
        <v>297</v>
      </c>
      <c r="G19" s="5" t="s">
        <v>170</v>
      </c>
      <c r="H19" s="5" t="s">
        <v>290</v>
      </c>
      <c r="I19" s="7" t="str">
        <f>IF(G19="","",IFERROR(VLOOKUP(G19,'Note e assunzioni'!$A$23:$B$32,2,FALSE),"Codice non mappato"))</f>
        <v>HR</v>
      </c>
      <c r="J19" s="13">
        <f t="shared" si="0"/>
        <v>0.7</v>
      </c>
      <c r="K19" s="7" t="str">
        <f>IF(H19="","",IFERROR(VLOOKUP(H19,'Note e assunzioni'!$A$23:$B$32,2,FALSE),"Codice non mappato"))</f>
        <v>Employment</v>
      </c>
      <c r="L19" s="13">
        <f t="shared" si="1"/>
        <v>0.3</v>
      </c>
      <c r="M19" s="14">
        <v>2.5</v>
      </c>
      <c r="N19" s="14">
        <v>1.5</v>
      </c>
      <c r="O19" s="13">
        <f>IFERROR(INDEX('Input survey A'!$C$12:$C$67,MATCH(C19,'Input survey A'!$A$12:$A$67,0)),"")</f>
        <v>3</v>
      </c>
      <c r="P19" s="39"/>
      <c r="Q19" s="7" t="str">
        <f t="shared" si="2"/>
        <v>Sì</v>
      </c>
      <c r="R19" s="7" t="str">
        <f t="shared" si="3"/>
        <v>Inclusa</v>
      </c>
      <c r="S19" s="13">
        <f t="shared" si="4"/>
        <v>5.25</v>
      </c>
      <c r="T19" s="13">
        <f t="shared" si="5"/>
        <v>1.75</v>
      </c>
      <c r="U19" s="13">
        <f t="shared" si="6"/>
        <v>2.25</v>
      </c>
      <c r="V19" s="13">
        <f t="shared" si="7"/>
        <v>0.75</v>
      </c>
      <c r="W19" s="7" t="s">
        <v>21</v>
      </c>
    </row>
    <row r="20" spans="1:23" x14ac:dyDescent="0.4">
      <c r="A20" s="5">
        <v>17</v>
      </c>
      <c r="B20" s="5">
        <v>16</v>
      </c>
      <c r="C20" s="5" t="s">
        <v>50</v>
      </c>
      <c r="D20" s="5" t="s">
        <v>284</v>
      </c>
      <c r="E20" s="5" t="s">
        <v>286</v>
      </c>
      <c r="F20" s="5" t="s">
        <v>298</v>
      </c>
      <c r="G20" s="5" t="s">
        <v>299</v>
      </c>
      <c r="H20" s="5" t="s">
        <v>170</v>
      </c>
      <c r="I20" s="7" t="str">
        <f>IF(G20="","",IFERROR(VLOOKUP(G20,'Note e assunzioni'!$A$23:$B$32,2,FALSE),"Codice non mappato"))</f>
        <v>Monitoring</v>
      </c>
      <c r="J20" s="13">
        <f t="shared" si="0"/>
        <v>0.7</v>
      </c>
      <c r="K20" s="7" t="str">
        <f>IF(H20="","",IFERROR(VLOOKUP(H20,'Note e assunzioni'!$A$23:$B$32,2,FALSE),"Codice non mappato"))</f>
        <v>HR</v>
      </c>
      <c r="L20" s="13">
        <f t="shared" si="1"/>
        <v>0.3</v>
      </c>
      <c r="M20" s="14">
        <v>3</v>
      </c>
      <c r="N20" s="14">
        <v>1.5</v>
      </c>
      <c r="O20" s="13">
        <f>IFERROR(INDEX('Input survey A'!$C$12:$C$67,MATCH(C20,'Input survey A'!$A$12:$A$67,0)),"")</f>
        <v>2</v>
      </c>
      <c r="P20" s="39"/>
      <c r="Q20" s="7" t="str">
        <f t="shared" si="2"/>
        <v>Sì</v>
      </c>
      <c r="R20" s="7" t="str">
        <f t="shared" si="3"/>
        <v>Inclusa</v>
      </c>
      <c r="S20" s="13">
        <f t="shared" si="4"/>
        <v>4.1999999999999993</v>
      </c>
      <c r="T20" s="13">
        <f t="shared" si="5"/>
        <v>2.0999999999999996</v>
      </c>
      <c r="U20" s="13">
        <f t="shared" si="6"/>
        <v>1.7999999999999998</v>
      </c>
      <c r="V20" s="13">
        <f t="shared" si="7"/>
        <v>0.89999999999999991</v>
      </c>
      <c r="W20" s="7" t="s">
        <v>21</v>
      </c>
    </row>
    <row r="21" spans="1:23" x14ac:dyDescent="0.4">
      <c r="A21" s="5">
        <v>18</v>
      </c>
      <c r="B21" s="5">
        <v>17</v>
      </c>
      <c r="C21" s="5" t="s">
        <v>52</v>
      </c>
      <c r="D21" s="5" t="s">
        <v>284</v>
      </c>
      <c r="E21" s="5" t="s">
        <v>286</v>
      </c>
      <c r="F21" s="5" t="s">
        <v>300</v>
      </c>
      <c r="G21" s="5" t="s">
        <v>290</v>
      </c>
      <c r="H21" s="5" t="s">
        <v>21</v>
      </c>
      <c r="I21" s="7" t="str">
        <f>IF(G21="","",IFERROR(VLOOKUP(G21,'Note e assunzioni'!$A$23:$B$32,2,FALSE),"Codice non mappato"))</f>
        <v>Employment</v>
      </c>
      <c r="J21" s="13">
        <f t="shared" si="0"/>
        <v>1</v>
      </c>
      <c r="K21" s="7" t="str">
        <f>IF(H21="","",IFERROR(VLOOKUP(H21,'Note e assunzioni'!$A$23:$B$32,2,FALSE),"Codice non mappato"))</f>
        <v/>
      </c>
      <c r="L21" s="13">
        <f t="shared" si="1"/>
        <v>0</v>
      </c>
      <c r="M21" s="14">
        <v>1.5</v>
      </c>
      <c r="N21" s="14">
        <v>1</v>
      </c>
      <c r="O21" s="13">
        <f>IFERROR(INDEX('Input survey A'!$C$12:$C$67,MATCH(C21,'Input survey A'!$A$12:$A$67,0)),"")</f>
        <v>2</v>
      </c>
      <c r="P21" s="39"/>
      <c r="Q21" s="7" t="str">
        <f t="shared" si="2"/>
        <v>Sì</v>
      </c>
      <c r="R21" s="7" t="str">
        <f t="shared" si="3"/>
        <v>Inclusa</v>
      </c>
      <c r="S21" s="13">
        <f t="shared" si="4"/>
        <v>3</v>
      </c>
      <c r="T21" s="13">
        <f t="shared" si="5"/>
        <v>1.5</v>
      </c>
      <c r="U21" s="13">
        <f t="shared" si="6"/>
        <v>0</v>
      </c>
      <c r="V21" s="13">
        <f t="shared" si="7"/>
        <v>0</v>
      </c>
      <c r="W21" s="7" t="s">
        <v>21</v>
      </c>
    </row>
    <row r="22" spans="1:23" x14ac:dyDescent="0.4">
      <c r="A22" s="5">
        <v>19</v>
      </c>
      <c r="B22" s="5">
        <v>18</v>
      </c>
      <c r="C22" s="5" t="s">
        <v>54</v>
      </c>
      <c r="D22" s="5" t="s">
        <v>284</v>
      </c>
      <c r="E22" s="5" t="s">
        <v>285</v>
      </c>
      <c r="F22" s="5" t="s">
        <v>301</v>
      </c>
      <c r="G22" s="5" t="s">
        <v>290</v>
      </c>
      <c r="H22" s="5" t="s">
        <v>282</v>
      </c>
      <c r="I22" s="7" t="str">
        <f>IF(G22="","",IFERROR(VLOOKUP(G22,'Note e assunzioni'!$A$23:$B$32,2,FALSE),"Codice non mappato"))</f>
        <v>Employment</v>
      </c>
      <c r="J22" s="13">
        <f t="shared" si="0"/>
        <v>0.7</v>
      </c>
      <c r="K22" s="7" t="str">
        <f>IF(H22="","",IFERROR(VLOOKUP(H22,'Note e assunzioni'!$A$23:$B$32,2,FALSE),"Codice non mappato"))</f>
        <v>Non-discrimination</v>
      </c>
      <c r="L22" s="13">
        <f t="shared" si="1"/>
        <v>0.3</v>
      </c>
      <c r="M22" s="14">
        <v>3</v>
      </c>
      <c r="N22" s="14">
        <v>2</v>
      </c>
      <c r="O22" s="13">
        <f>IFERROR(INDEX('Input survey A'!$C$12:$C$67,MATCH(C22,'Input survey A'!$A$12:$A$67,0)),"")</f>
        <v>2</v>
      </c>
      <c r="P22" s="39"/>
      <c r="Q22" s="7" t="str">
        <f t="shared" si="2"/>
        <v>Sì</v>
      </c>
      <c r="R22" s="7" t="str">
        <f t="shared" si="3"/>
        <v>Inclusa</v>
      </c>
      <c r="S22" s="13">
        <f t="shared" si="4"/>
        <v>4.1999999999999993</v>
      </c>
      <c r="T22" s="13">
        <f t="shared" si="5"/>
        <v>2.0999999999999996</v>
      </c>
      <c r="U22" s="13">
        <f t="shared" si="6"/>
        <v>1.7999999999999998</v>
      </c>
      <c r="V22" s="13">
        <f t="shared" si="7"/>
        <v>0.89999999999999991</v>
      </c>
      <c r="W22" s="7" t="s">
        <v>21</v>
      </c>
    </row>
    <row r="23" spans="1:23" x14ac:dyDescent="0.4">
      <c r="A23" s="5">
        <v>20</v>
      </c>
      <c r="B23" s="5">
        <v>19</v>
      </c>
      <c r="C23" s="5" t="s">
        <v>56</v>
      </c>
      <c r="D23" s="5" t="s">
        <v>302</v>
      </c>
      <c r="E23" s="5" t="s">
        <v>303</v>
      </c>
      <c r="F23" s="5" t="s">
        <v>304</v>
      </c>
      <c r="G23" s="5" t="s">
        <v>304</v>
      </c>
      <c r="H23" s="5" t="s">
        <v>21</v>
      </c>
      <c r="I23" s="7" t="str">
        <f>IF(G23="","",IFERROR(VLOOKUP(G23,'Note e assunzioni'!$A$23:$B$32,2,FALSE),"Codice non mappato"))</f>
        <v>Foundation</v>
      </c>
      <c r="J23" s="13">
        <f t="shared" si="0"/>
        <v>1</v>
      </c>
      <c r="K23" s="7" t="str">
        <f>IF(H23="","",IFERROR(VLOOKUP(H23,'Note e assunzioni'!$A$23:$B$32,2,FALSE),"Codice non mappato"))</f>
        <v/>
      </c>
      <c r="L23" s="13">
        <f t="shared" si="1"/>
        <v>0</v>
      </c>
      <c r="M23" s="14">
        <v>1.5</v>
      </c>
      <c r="N23" s="14">
        <v>1</v>
      </c>
      <c r="O23" s="13">
        <f>IFERROR(INDEX('Input survey A'!$C$12:$C$67,MATCH(C23,'Input survey A'!$A$12:$A$67,0)),"")</f>
        <v>2</v>
      </c>
      <c r="P23" s="39"/>
      <c r="Q23" s="7" t="str">
        <f t="shared" si="2"/>
        <v>Sì</v>
      </c>
      <c r="R23" s="7" t="str">
        <f t="shared" si="3"/>
        <v>Inclusa</v>
      </c>
      <c r="S23" s="13">
        <f t="shared" si="4"/>
        <v>3</v>
      </c>
      <c r="T23" s="13">
        <f t="shared" si="5"/>
        <v>1.5</v>
      </c>
      <c r="U23" s="13">
        <f t="shared" si="6"/>
        <v>0</v>
      </c>
      <c r="V23" s="13">
        <f t="shared" si="7"/>
        <v>0</v>
      </c>
      <c r="W23" s="7" t="s">
        <v>21</v>
      </c>
    </row>
    <row r="24" spans="1:23" x14ac:dyDescent="0.4">
      <c r="A24" s="5">
        <v>21</v>
      </c>
      <c r="B24" s="5">
        <v>20</v>
      </c>
      <c r="C24" s="5" t="s">
        <v>58</v>
      </c>
      <c r="D24" s="5" t="s">
        <v>284</v>
      </c>
      <c r="E24" s="5" t="s">
        <v>285</v>
      </c>
      <c r="F24" s="5" t="s">
        <v>305</v>
      </c>
      <c r="G24" s="5" t="s">
        <v>290</v>
      </c>
      <c r="H24" s="5" t="s">
        <v>21</v>
      </c>
      <c r="I24" s="7" t="str">
        <f>IF(G24="","",IFERROR(VLOOKUP(G24,'Note e assunzioni'!$A$23:$B$32,2,FALSE),"Codice non mappato"))</f>
        <v>Employment</v>
      </c>
      <c r="J24" s="13">
        <f t="shared" si="0"/>
        <v>1</v>
      </c>
      <c r="K24" s="7" t="str">
        <f>IF(H24="","",IFERROR(VLOOKUP(H24,'Note e assunzioni'!$A$23:$B$32,2,FALSE),"Codice non mappato"))</f>
        <v/>
      </c>
      <c r="L24" s="13">
        <f t="shared" si="1"/>
        <v>0</v>
      </c>
      <c r="M24" s="14">
        <v>1.5</v>
      </c>
      <c r="N24" s="14">
        <v>1</v>
      </c>
      <c r="O24" s="13">
        <f>IFERROR(INDEX('Input survey A'!$C$12:$C$67,MATCH(C24,'Input survey A'!$A$12:$A$67,0)),"")</f>
        <v>2</v>
      </c>
      <c r="P24" s="39"/>
      <c r="Q24" s="7" t="str">
        <f t="shared" si="2"/>
        <v>Sì</v>
      </c>
      <c r="R24" s="7" t="str">
        <f t="shared" si="3"/>
        <v>Inclusa</v>
      </c>
      <c r="S24" s="13">
        <f t="shared" si="4"/>
        <v>3</v>
      </c>
      <c r="T24" s="13">
        <f t="shared" si="5"/>
        <v>1.5</v>
      </c>
      <c r="U24" s="13">
        <f t="shared" si="6"/>
        <v>0</v>
      </c>
      <c r="V24" s="13">
        <f t="shared" si="7"/>
        <v>0</v>
      </c>
      <c r="W24" s="7" t="s">
        <v>21</v>
      </c>
    </row>
    <row r="25" spans="1:23" x14ac:dyDescent="0.4">
      <c r="A25" s="5">
        <v>22</v>
      </c>
      <c r="B25" s="5">
        <v>21</v>
      </c>
      <c r="C25" s="5" t="s">
        <v>60</v>
      </c>
      <c r="D25" s="5" t="s">
        <v>284</v>
      </c>
      <c r="E25" s="5" t="s">
        <v>285</v>
      </c>
      <c r="F25" s="5" t="s">
        <v>305</v>
      </c>
      <c r="G25" s="5" t="s">
        <v>290</v>
      </c>
      <c r="H25" s="5" t="s">
        <v>21</v>
      </c>
      <c r="I25" s="7" t="str">
        <f>IF(G25="","",IFERROR(VLOOKUP(G25,'Note e assunzioni'!$A$23:$B$32,2,FALSE),"Codice non mappato"))</f>
        <v>Employment</v>
      </c>
      <c r="J25" s="13">
        <f t="shared" si="0"/>
        <v>1</v>
      </c>
      <c r="K25" s="7" t="str">
        <f>IF(H25="","",IFERROR(VLOOKUP(H25,'Note e assunzioni'!$A$23:$B$32,2,FALSE),"Codice non mappato"))</f>
        <v/>
      </c>
      <c r="L25" s="13">
        <f t="shared" si="1"/>
        <v>0</v>
      </c>
      <c r="M25" s="14">
        <v>1.5</v>
      </c>
      <c r="N25" s="14">
        <v>1</v>
      </c>
      <c r="O25" s="13">
        <f>IFERROR(INDEX('Input survey A'!$C$12:$C$67,MATCH(C25,'Input survey A'!$A$12:$A$67,0)),"")</f>
        <v>2</v>
      </c>
      <c r="P25" s="39"/>
      <c r="Q25" s="7" t="str">
        <f t="shared" si="2"/>
        <v>Sì</v>
      </c>
      <c r="R25" s="7" t="str">
        <f t="shared" si="3"/>
        <v>Inclusa</v>
      </c>
      <c r="S25" s="13">
        <f t="shared" si="4"/>
        <v>3</v>
      </c>
      <c r="T25" s="13">
        <f t="shared" si="5"/>
        <v>1.5</v>
      </c>
      <c r="U25" s="13">
        <f t="shared" si="6"/>
        <v>0</v>
      </c>
      <c r="V25" s="13">
        <f t="shared" si="7"/>
        <v>0</v>
      </c>
      <c r="W25" s="7" t="s">
        <v>21</v>
      </c>
    </row>
    <row r="26" spans="1:23" x14ac:dyDescent="0.4">
      <c r="A26" s="5">
        <v>23</v>
      </c>
      <c r="B26" s="5">
        <v>22</v>
      </c>
      <c r="C26" s="5" t="s">
        <v>62</v>
      </c>
      <c r="D26" s="5" t="s">
        <v>284</v>
      </c>
      <c r="E26" s="5" t="s">
        <v>285</v>
      </c>
      <c r="F26" s="5" t="s">
        <v>305</v>
      </c>
      <c r="G26" s="5" t="s">
        <v>290</v>
      </c>
      <c r="H26" s="5" t="s">
        <v>21</v>
      </c>
      <c r="I26" s="7" t="str">
        <f>IF(G26="","",IFERROR(VLOOKUP(G26,'Note e assunzioni'!$A$23:$B$32,2,FALSE),"Codice non mappato"))</f>
        <v>Employment</v>
      </c>
      <c r="J26" s="13">
        <f t="shared" si="0"/>
        <v>1</v>
      </c>
      <c r="K26" s="7" t="str">
        <f>IF(H26="","",IFERROR(VLOOKUP(H26,'Note e assunzioni'!$A$23:$B$32,2,FALSE),"Codice non mappato"))</f>
        <v/>
      </c>
      <c r="L26" s="13">
        <f t="shared" si="1"/>
        <v>0</v>
      </c>
      <c r="M26" s="14">
        <v>1.5</v>
      </c>
      <c r="N26" s="14">
        <v>1</v>
      </c>
      <c r="O26" s="13">
        <f>IFERROR(INDEX('Input survey A'!$C$12:$C$67,MATCH(C26,'Input survey A'!$A$12:$A$67,0)),"")</f>
        <v>1</v>
      </c>
      <c r="P26" s="39"/>
      <c r="Q26" s="7" t="str">
        <f t="shared" si="2"/>
        <v>Sì</v>
      </c>
      <c r="R26" s="7" t="str">
        <f t="shared" si="3"/>
        <v>Inclusa</v>
      </c>
      <c r="S26" s="13">
        <f t="shared" si="4"/>
        <v>1.5</v>
      </c>
      <c r="T26" s="13">
        <f t="shared" si="5"/>
        <v>1.5</v>
      </c>
      <c r="U26" s="13">
        <f t="shared" si="6"/>
        <v>0</v>
      </c>
      <c r="V26" s="13">
        <f t="shared" si="7"/>
        <v>0</v>
      </c>
      <c r="W26" s="7" t="s">
        <v>21</v>
      </c>
    </row>
    <row r="27" spans="1:23" x14ac:dyDescent="0.4">
      <c r="A27" s="5">
        <v>24</v>
      </c>
      <c r="B27" s="5">
        <v>23</v>
      </c>
      <c r="C27" s="5" t="s">
        <v>64</v>
      </c>
      <c r="D27" s="5" t="s">
        <v>284</v>
      </c>
      <c r="E27" s="5" t="s">
        <v>285</v>
      </c>
      <c r="F27" s="5" t="s">
        <v>282</v>
      </c>
      <c r="G27" s="5" t="s">
        <v>282</v>
      </c>
      <c r="H27" s="5" t="s">
        <v>21</v>
      </c>
      <c r="I27" s="7" t="str">
        <f>IF(G27="","",IFERROR(VLOOKUP(G27,'Note e assunzioni'!$A$23:$B$32,2,FALSE),"Codice non mappato"))</f>
        <v>Non-discrimination</v>
      </c>
      <c r="J27" s="13">
        <f t="shared" si="0"/>
        <v>1</v>
      </c>
      <c r="K27" s="7" t="str">
        <f>IF(H27="","",IFERROR(VLOOKUP(H27,'Note e assunzioni'!$A$23:$B$32,2,FALSE),"Codice non mappato"))</f>
        <v/>
      </c>
      <c r="L27" s="13">
        <f t="shared" si="1"/>
        <v>0</v>
      </c>
      <c r="M27" s="14">
        <v>3</v>
      </c>
      <c r="N27" s="14">
        <v>2</v>
      </c>
      <c r="O27" s="13">
        <f>IFERROR(INDEX('Input survey A'!$C$12:$C$67,MATCH(C27,'Input survey A'!$A$12:$A$67,0)),"")</f>
        <v>1</v>
      </c>
      <c r="P27" s="39"/>
      <c r="Q27" s="7" t="str">
        <f t="shared" si="2"/>
        <v>Sì</v>
      </c>
      <c r="R27" s="7" t="str">
        <f t="shared" si="3"/>
        <v>Inclusa</v>
      </c>
      <c r="S27" s="13">
        <f t="shared" si="4"/>
        <v>3</v>
      </c>
      <c r="T27" s="13">
        <f t="shared" si="5"/>
        <v>3</v>
      </c>
      <c r="U27" s="13">
        <f t="shared" si="6"/>
        <v>0</v>
      </c>
      <c r="V27" s="13">
        <f t="shared" si="7"/>
        <v>0</v>
      </c>
      <c r="W27" s="7"/>
    </row>
    <row r="28" spans="1:23" x14ac:dyDescent="0.4">
      <c r="A28" s="5">
        <v>25</v>
      </c>
      <c r="B28" s="5">
        <v>24</v>
      </c>
      <c r="C28" s="5" t="s">
        <v>66</v>
      </c>
      <c r="D28" s="5" t="s">
        <v>302</v>
      </c>
      <c r="E28" s="5" t="s">
        <v>306</v>
      </c>
      <c r="F28" s="5" t="s">
        <v>304</v>
      </c>
      <c r="G28" s="5" t="s">
        <v>304</v>
      </c>
      <c r="H28" s="5" t="s">
        <v>21</v>
      </c>
      <c r="I28" s="7" t="str">
        <f>IF(G28="","",IFERROR(VLOOKUP(G28,'Note e assunzioni'!$A$23:$B$32,2,FALSE),"Codice non mappato"))</f>
        <v>Foundation</v>
      </c>
      <c r="J28" s="13">
        <f t="shared" si="0"/>
        <v>1</v>
      </c>
      <c r="K28" s="7" t="str">
        <f>IF(H28="","",IFERROR(VLOOKUP(H28,'Note e assunzioni'!$A$23:$B$32,2,FALSE),"Codice non mappato"))</f>
        <v/>
      </c>
      <c r="L28" s="13">
        <f t="shared" si="1"/>
        <v>0</v>
      </c>
      <c r="M28" s="14">
        <v>2</v>
      </c>
      <c r="N28" s="14">
        <v>1</v>
      </c>
      <c r="O28" s="13">
        <f>IFERROR(INDEX('Input survey A'!$C$12:$C$67,MATCH(C28,'Input survey A'!$A$12:$A$67,0)),"")</f>
        <v>2</v>
      </c>
      <c r="P28" s="39"/>
      <c r="Q28" s="7" t="str">
        <f t="shared" si="2"/>
        <v>Sì</v>
      </c>
      <c r="R28" s="7" t="str">
        <f t="shared" si="3"/>
        <v>Inclusa</v>
      </c>
      <c r="S28" s="13">
        <f t="shared" si="4"/>
        <v>4</v>
      </c>
      <c r="T28" s="13">
        <f t="shared" si="5"/>
        <v>2</v>
      </c>
      <c r="U28" s="13">
        <f t="shared" si="6"/>
        <v>0</v>
      </c>
      <c r="V28" s="13">
        <f t="shared" si="7"/>
        <v>0</v>
      </c>
      <c r="W28" s="7" t="s">
        <v>21</v>
      </c>
    </row>
    <row r="29" spans="1:23" x14ac:dyDescent="0.4">
      <c r="A29" s="5">
        <v>26</v>
      </c>
      <c r="B29" s="5">
        <v>25</v>
      </c>
      <c r="C29" s="5" t="s">
        <v>68</v>
      </c>
      <c r="D29" s="5" t="s">
        <v>302</v>
      </c>
      <c r="E29" s="5" t="s">
        <v>306</v>
      </c>
      <c r="F29" s="5" t="s">
        <v>307</v>
      </c>
      <c r="G29" s="5" t="s">
        <v>288</v>
      </c>
      <c r="H29" s="5" t="s">
        <v>304</v>
      </c>
      <c r="I29" s="7" t="str">
        <f>IF(G29="","",IFERROR(VLOOKUP(G29,'Note e assunzioni'!$A$23:$B$32,2,FALSE),"Codice non mappato"))</f>
        <v>Education &amp; Training</v>
      </c>
      <c r="J29" s="13">
        <f t="shared" si="0"/>
        <v>0.7</v>
      </c>
      <c r="K29" s="7" t="str">
        <f>IF(H29="","",IFERROR(VLOOKUP(H29,'Note e assunzioni'!$A$23:$B$32,2,FALSE),"Codice non mappato"))</f>
        <v>Foundation</v>
      </c>
      <c r="L29" s="13">
        <f t="shared" si="1"/>
        <v>0.3</v>
      </c>
      <c r="M29" s="14">
        <v>3</v>
      </c>
      <c r="N29" s="14">
        <v>1.5</v>
      </c>
      <c r="O29" s="13">
        <f>IFERROR(INDEX('Input survey A'!$C$12:$C$67,MATCH(C29,'Input survey A'!$A$12:$A$67,0)),"")</f>
        <v>2</v>
      </c>
      <c r="P29" s="39"/>
      <c r="Q29" s="7" t="str">
        <f t="shared" si="2"/>
        <v>Sì</v>
      </c>
      <c r="R29" s="7" t="str">
        <f t="shared" si="3"/>
        <v>Inclusa</v>
      </c>
      <c r="S29" s="13">
        <f t="shared" si="4"/>
        <v>4.1999999999999993</v>
      </c>
      <c r="T29" s="13">
        <f t="shared" si="5"/>
        <v>2.0999999999999996</v>
      </c>
      <c r="U29" s="13">
        <f t="shared" si="6"/>
        <v>1.7999999999999998</v>
      </c>
      <c r="V29" s="13">
        <f t="shared" si="7"/>
        <v>0.89999999999999991</v>
      </c>
      <c r="W29" s="7" t="s">
        <v>21</v>
      </c>
    </row>
    <row r="30" spans="1:23" x14ac:dyDescent="0.4">
      <c r="A30" s="5">
        <v>27</v>
      </c>
      <c r="B30" s="5">
        <v>26</v>
      </c>
      <c r="C30" s="5" t="s">
        <v>70</v>
      </c>
      <c r="D30" s="5" t="s">
        <v>302</v>
      </c>
      <c r="E30" s="5" t="s">
        <v>306</v>
      </c>
      <c r="F30" s="5" t="s">
        <v>279</v>
      </c>
      <c r="G30" s="5" t="s">
        <v>21</v>
      </c>
      <c r="H30" s="5" t="s">
        <v>21</v>
      </c>
      <c r="I30" s="7" t="str">
        <f>IF(G30="","",IFERROR(VLOOKUP(G30,'Note e assunzioni'!$A$23:$B$32,2,FALSE),"Codice non mappato"))</f>
        <v/>
      </c>
      <c r="J30" s="13">
        <f t="shared" si="0"/>
        <v>0</v>
      </c>
      <c r="K30" s="7" t="str">
        <f>IF(H30="","",IFERROR(VLOOKUP(H30,'Note e assunzioni'!$A$23:$B$32,2,FALSE),"Codice non mappato"))</f>
        <v/>
      </c>
      <c r="L30" s="13">
        <f t="shared" si="1"/>
        <v>0</v>
      </c>
      <c r="M30" s="14">
        <v>1.5</v>
      </c>
      <c r="N30" s="14">
        <v>1</v>
      </c>
      <c r="O30" s="13">
        <f>IFERROR(INDEX('Input survey A'!$C$12:$C$67,MATCH(C30,'Input survey A'!$A$12:$A$67,0)),"")</f>
        <v>2</v>
      </c>
      <c r="P30" s="39"/>
      <c r="Q30" s="7" t="str">
        <f t="shared" si="2"/>
        <v>No</v>
      </c>
      <c r="R30" s="7" t="str">
        <f t="shared" si="3"/>
        <v>MAT - esclusa dal calcolo matrice</v>
      </c>
      <c r="S30" s="13">
        <f t="shared" si="4"/>
        <v>0</v>
      </c>
      <c r="T30" s="13">
        <f t="shared" si="5"/>
        <v>0</v>
      </c>
      <c r="U30" s="13">
        <f t="shared" si="6"/>
        <v>0</v>
      </c>
      <c r="V30" s="13">
        <f t="shared" si="7"/>
        <v>0</v>
      </c>
      <c r="W30" s="7" t="s">
        <v>21</v>
      </c>
    </row>
    <row r="31" spans="1:23" x14ac:dyDescent="0.4">
      <c r="A31" s="5">
        <v>28</v>
      </c>
      <c r="B31" s="5">
        <v>27</v>
      </c>
      <c r="C31" s="5" t="s">
        <v>72</v>
      </c>
      <c r="D31" s="5" t="s">
        <v>302</v>
      </c>
      <c r="E31" s="5" t="s">
        <v>306</v>
      </c>
      <c r="F31" s="5" t="s">
        <v>308</v>
      </c>
      <c r="G31" s="5" t="s">
        <v>299</v>
      </c>
      <c r="H31" s="5" t="s">
        <v>304</v>
      </c>
      <c r="I31" s="7" t="str">
        <f>IF(G31="","",IFERROR(VLOOKUP(G31,'Note e assunzioni'!$A$23:$B$32,2,FALSE),"Codice non mappato"))</f>
        <v>Monitoring</v>
      </c>
      <c r="J31" s="13">
        <f t="shared" si="0"/>
        <v>0.7</v>
      </c>
      <c r="K31" s="7" t="str">
        <f>IF(H31="","",IFERROR(VLOOKUP(H31,'Note e assunzioni'!$A$23:$B$32,2,FALSE),"Codice non mappato"))</f>
        <v>Foundation</v>
      </c>
      <c r="L31" s="13">
        <f t="shared" si="1"/>
        <v>0.3</v>
      </c>
      <c r="M31" s="14">
        <v>3</v>
      </c>
      <c r="N31" s="14">
        <v>1.5</v>
      </c>
      <c r="O31" s="13">
        <f>IFERROR(INDEX('Input survey A'!$C$12:$C$67,MATCH(C31,'Input survey A'!$A$12:$A$67,0)),"")</f>
        <v>1</v>
      </c>
      <c r="P31" s="39"/>
      <c r="Q31" s="7" t="str">
        <f t="shared" si="2"/>
        <v>Sì</v>
      </c>
      <c r="R31" s="7" t="str">
        <f t="shared" si="3"/>
        <v>Inclusa</v>
      </c>
      <c r="S31" s="13">
        <f t="shared" si="4"/>
        <v>2.0999999999999996</v>
      </c>
      <c r="T31" s="13">
        <f t="shared" si="5"/>
        <v>2.0999999999999996</v>
      </c>
      <c r="U31" s="13">
        <f t="shared" si="6"/>
        <v>0.89999999999999991</v>
      </c>
      <c r="V31" s="13">
        <f t="shared" si="7"/>
        <v>0.89999999999999991</v>
      </c>
      <c r="W31" s="7" t="s">
        <v>21</v>
      </c>
    </row>
    <row r="32" spans="1:23" x14ac:dyDescent="0.4">
      <c r="A32" s="5">
        <v>29</v>
      </c>
      <c r="B32" s="5">
        <v>28</v>
      </c>
      <c r="C32" s="5" t="s">
        <v>74</v>
      </c>
      <c r="D32" s="5" t="s">
        <v>302</v>
      </c>
      <c r="E32" s="5" t="s">
        <v>306</v>
      </c>
      <c r="F32" s="5" t="s">
        <v>304</v>
      </c>
      <c r="G32" s="5" t="s">
        <v>304</v>
      </c>
      <c r="H32" s="5" t="s">
        <v>21</v>
      </c>
      <c r="I32" s="7" t="str">
        <f>IF(G32="","",IFERROR(VLOOKUP(G32,'Note e assunzioni'!$A$23:$B$32,2,FALSE),"Codice non mappato"))</f>
        <v>Foundation</v>
      </c>
      <c r="J32" s="13">
        <f t="shared" si="0"/>
        <v>1</v>
      </c>
      <c r="K32" s="7" t="str">
        <f>IF(H32="","",IFERROR(VLOOKUP(H32,'Note e assunzioni'!$A$23:$B$32,2,FALSE),"Codice non mappato"))</f>
        <v/>
      </c>
      <c r="L32" s="13">
        <f t="shared" si="1"/>
        <v>0</v>
      </c>
      <c r="M32" s="14">
        <v>2.5</v>
      </c>
      <c r="N32" s="14">
        <v>1.5</v>
      </c>
      <c r="O32" s="13">
        <f>IFERROR(INDEX('Input survey A'!$C$12:$C$67,MATCH(C32,'Input survey A'!$A$12:$A$67,0)),"")</f>
        <v>2</v>
      </c>
      <c r="P32" s="39"/>
      <c r="Q32" s="7" t="str">
        <f t="shared" si="2"/>
        <v>Sì</v>
      </c>
      <c r="R32" s="7" t="str">
        <f t="shared" si="3"/>
        <v>Inclusa</v>
      </c>
      <c r="S32" s="13">
        <f t="shared" si="4"/>
        <v>5</v>
      </c>
      <c r="T32" s="13">
        <f t="shared" si="5"/>
        <v>2.5</v>
      </c>
      <c r="U32" s="13">
        <f t="shared" si="6"/>
        <v>0</v>
      </c>
      <c r="V32" s="13">
        <f t="shared" si="7"/>
        <v>0</v>
      </c>
      <c r="W32" s="7" t="s">
        <v>21</v>
      </c>
    </row>
    <row r="33" spans="1:23" ht="25.75" x14ac:dyDescent="0.4">
      <c r="A33" s="5">
        <v>30</v>
      </c>
      <c r="B33" s="5">
        <v>29</v>
      </c>
      <c r="C33" s="5" t="s">
        <v>76</v>
      </c>
      <c r="D33" s="5" t="s">
        <v>309</v>
      </c>
      <c r="E33" s="5" t="s">
        <v>310</v>
      </c>
      <c r="F33" s="5" t="s">
        <v>299</v>
      </c>
      <c r="G33" s="5" t="s">
        <v>299</v>
      </c>
      <c r="H33" s="5" t="s">
        <v>21</v>
      </c>
      <c r="I33" s="7" t="str">
        <f>IF(G33="","",IFERROR(VLOOKUP(G33,'Note e assunzioni'!$A$23:$B$32,2,FALSE),"Codice non mappato"))</f>
        <v>Monitoring</v>
      </c>
      <c r="J33" s="13">
        <f t="shared" si="0"/>
        <v>1</v>
      </c>
      <c r="K33" s="7" t="str">
        <f>IF(H33="","",IFERROR(VLOOKUP(H33,'Note e assunzioni'!$A$23:$B$32,2,FALSE),"Codice non mappato"))</f>
        <v/>
      </c>
      <c r="L33" s="13">
        <f t="shared" si="1"/>
        <v>0</v>
      </c>
      <c r="M33" s="14">
        <v>3</v>
      </c>
      <c r="N33" s="14">
        <v>1.5</v>
      </c>
      <c r="O33" s="13">
        <f>IFERROR(INDEX('Input survey A'!$C$12:$C$67,MATCH(C33,'Input survey A'!$A$12:$A$67,0)),"")</f>
        <v>2</v>
      </c>
      <c r="P33" s="39"/>
      <c r="Q33" s="7" t="str">
        <f t="shared" si="2"/>
        <v>Sì</v>
      </c>
      <c r="R33" s="7" t="str">
        <f t="shared" si="3"/>
        <v>Inclusa</v>
      </c>
      <c r="S33" s="13">
        <f t="shared" si="4"/>
        <v>6</v>
      </c>
      <c r="T33" s="13">
        <f t="shared" si="5"/>
        <v>3</v>
      </c>
      <c r="U33" s="13">
        <f t="shared" si="6"/>
        <v>0</v>
      </c>
      <c r="V33" s="13">
        <f t="shared" si="7"/>
        <v>0</v>
      </c>
      <c r="W33" s="7" t="s">
        <v>21</v>
      </c>
    </row>
    <row r="34" spans="1:23" ht="25.75" x14ac:dyDescent="0.4">
      <c r="A34" s="5">
        <v>31</v>
      </c>
      <c r="B34" s="5">
        <v>30</v>
      </c>
      <c r="C34" s="5" t="s">
        <v>78</v>
      </c>
      <c r="D34" s="5" t="s">
        <v>309</v>
      </c>
      <c r="E34" s="5" t="s">
        <v>310</v>
      </c>
      <c r="F34" s="5" t="s">
        <v>311</v>
      </c>
      <c r="G34" s="5" t="s">
        <v>311</v>
      </c>
      <c r="H34" s="5" t="s">
        <v>21</v>
      </c>
      <c r="I34" s="7" t="str">
        <f>IF(G34="","",IFERROR(VLOOKUP(G34,'Note e assunzioni'!$A$23:$B$32,2,FALSE),"Codice non mappato"))</f>
        <v>End-users</v>
      </c>
      <c r="J34" s="13">
        <f t="shared" si="0"/>
        <v>1</v>
      </c>
      <c r="K34" s="7" t="str">
        <f>IF(H34="","",IFERROR(VLOOKUP(H34,'Note e assunzioni'!$A$23:$B$32,2,FALSE),"Codice non mappato"))</f>
        <v/>
      </c>
      <c r="L34" s="13">
        <f t="shared" si="1"/>
        <v>0</v>
      </c>
      <c r="M34" s="14">
        <v>3</v>
      </c>
      <c r="N34" s="14">
        <v>1</v>
      </c>
      <c r="O34" s="13">
        <f>IFERROR(INDEX('Input survey A'!$C$12:$C$67,MATCH(C34,'Input survey A'!$A$12:$A$67,0)),"")</f>
        <v>4</v>
      </c>
      <c r="P34" s="39"/>
      <c r="Q34" s="7" t="str">
        <f t="shared" si="2"/>
        <v>Sì</v>
      </c>
      <c r="R34" s="7" t="str">
        <f t="shared" si="3"/>
        <v>Inclusa</v>
      </c>
      <c r="S34" s="13">
        <f t="shared" si="4"/>
        <v>12</v>
      </c>
      <c r="T34" s="13">
        <f t="shared" si="5"/>
        <v>3</v>
      </c>
      <c r="U34" s="13">
        <f t="shared" si="6"/>
        <v>0</v>
      </c>
      <c r="V34" s="13">
        <f t="shared" si="7"/>
        <v>0</v>
      </c>
      <c r="W34" s="7" t="s">
        <v>21</v>
      </c>
    </row>
    <row r="35" spans="1:23" ht="25.75" x14ac:dyDescent="0.4">
      <c r="A35" s="5">
        <v>32</v>
      </c>
      <c r="B35" s="5">
        <v>31</v>
      </c>
      <c r="C35" s="5" t="s">
        <v>80</v>
      </c>
      <c r="D35" s="5" t="s">
        <v>309</v>
      </c>
      <c r="E35" s="5" t="s">
        <v>310</v>
      </c>
      <c r="F35" s="5" t="s">
        <v>312</v>
      </c>
      <c r="G35" s="5" t="s">
        <v>311</v>
      </c>
      <c r="H35" s="5" t="s">
        <v>282</v>
      </c>
      <c r="I35" s="7" t="str">
        <f>IF(G35="","",IFERROR(VLOOKUP(G35,'Note e assunzioni'!$A$23:$B$32,2,FALSE),"Codice non mappato"))</f>
        <v>End-users</v>
      </c>
      <c r="J35" s="13">
        <f t="shared" si="0"/>
        <v>0.7</v>
      </c>
      <c r="K35" s="7" t="str">
        <f>IF(H35="","",IFERROR(VLOOKUP(H35,'Note e assunzioni'!$A$23:$B$32,2,FALSE),"Codice non mappato"))</f>
        <v>Non-discrimination</v>
      </c>
      <c r="L35" s="13">
        <f t="shared" si="1"/>
        <v>0.3</v>
      </c>
      <c r="M35" s="14">
        <v>3</v>
      </c>
      <c r="N35" s="14">
        <v>1.5</v>
      </c>
      <c r="O35" s="13">
        <f>IFERROR(INDEX('Input survey A'!$C$12:$C$67,MATCH(C35,'Input survey A'!$A$12:$A$67,0)),"")</f>
        <v>2</v>
      </c>
      <c r="P35" s="39"/>
      <c r="Q35" s="7" t="str">
        <f t="shared" si="2"/>
        <v>Sì</v>
      </c>
      <c r="R35" s="7" t="str">
        <f t="shared" si="3"/>
        <v>Inclusa</v>
      </c>
      <c r="S35" s="13">
        <f t="shared" si="4"/>
        <v>4.1999999999999993</v>
      </c>
      <c r="T35" s="13">
        <f t="shared" si="5"/>
        <v>2.0999999999999996</v>
      </c>
      <c r="U35" s="13">
        <f t="shared" si="6"/>
        <v>1.7999999999999998</v>
      </c>
      <c r="V35" s="13">
        <f t="shared" si="7"/>
        <v>0.89999999999999991</v>
      </c>
      <c r="W35" s="7" t="s">
        <v>21</v>
      </c>
    </row>
    <row r="36" spans="1:23" ht="25.75" x14ac:dyDescent="0.4">
      <c r="A36" s="5">
        <v>33</v>
      </c>
      <c r="B36" s="5">
        <v>32</v>
      </c>
      <c r="C36" s="5" t="s">
        <v>82</v>
      </c>
      <c r="D36" s="5" t="s">
        <v>309</v>
      </c>
      <c r="E36" s="5" t="s">
        <v>310</v>
      </c>
      <c r="F36" s="5" t="s">
        <v>311</v>
      </c>
      <c r="G36" s="5" t="s">
        <v>311</v>
      </c>
      <c r="H36" s="5" t="s">
        <v>21</v>
      </c>
      <c r="I36" s="7" t="str">
        <f>IF(G36="","",IFERROR(VLOOKUP(G36,'Note e assunzioni'!$A$23:$B$32,2,FALSE),"Codice non mappato"))</f>
        <v>End-users</v>
      </c>
      <c r="J36" s="13">
        <f t="shared" si="0"/>
        <v>1</v>
      </c>
      <c r="K36" s="7" t="str">
        <f>IF(H36="","",IFERROR(VLOOKUP(H36,'Note e assunzioni'!$A$23:$B$32,2,FALSE),"Codice non mappato"))</f>
        <v/>
      </c>
      <c r="L36" s="13">
        <f t="shared" si="1"/>
        <v>0</v>
      </c>
      <c r="M36" s="14">
        <v>3</v>
      </c>
      <c r="N36" s="14">
        <v>2.5</v>
      </c>
      <c r="O36" s="13">
        <f>IFERROR(INDEX('Input survey A'!$C$12:$C$67,MATCH(C36,'Input survey A'!$A$12:$A$67,0)),"")</f>
        <v>2</v>
      </c>
      <c r="P36" s="39"/>
      <c r="Q36" s="7" t="str">
        <f t="shared" si="2"/>
        <v>Sì</v>
      </c>
      <c r="R36" s="7" t="str">
        <f t="shared" si="3"/>
        <v>Inclusa</v>
      </c>
      <c r="S36" s="13">
        <f t="shared" si="4"/>
        <v>6</v>
      </c>
      <c r="T36" s="13">
        <f t="shared" si="5"/>
        <v>3</v>
      </c>
      <c r="U36" s="13">
        <f t="shared" si="6"/>
        <v>0</v>
      </c>
      <c r="V36" s="13">
        <f t="shared" si="7"/>
        <v>0</v>
      </c>
      <c r="W36" s="7" t="s">
        <v>21</v>
      </c>
    </row>
    <row r="37" spans="1:23" ht="25.75" x14ac:dyDescent="0.4">
      <c r="A37" s="5">
        <v>34</v>
      </c>
      <c r="B37" s="5">
        <v>33</v>
      </c>
      <c r="C37" s="5" t="s">
        <v>84</v>
      </c>
      <c r="D37" s="5" t="s">
        <v>309</v>
      </c>
      <c r="E37" s="5" t="s">
        <v>310</v>
      </c>
      <c r="F37" s="5" t="s">
        <v>313</v>
      </c>
      <c r="G37" s="5" t="s">
        <v>299</v>
      </c>
      <c r="H37" s="5" t="s">
        <v>311</v>
      </c>
      <c r="I37" s="7" t="str">
        <f>IF(G37="","",IFERROR(VLOOKUP(G37,'Note e assunzioni'!$A$23:$B$32,2,FALSE),"Codice non mappato"))</f>
        <v>Monitoring</v>
      </c>
      <c r="J37" s="13">
        <f t="shared" ref="J37:J59" si="8">IF(Q37="Sì",IF(H37="",1,0.7),0)</f>
        <v>0.7</v>
      </c>
      <c r="K37" s="7" t="str">
        <f>IF(H37="","",IFERROR(VLOOKUP(H37,'Note e assunzioni'!$A$23:$B$32,2,FALSE),"Codice non mappato"))</f>
        <v>End-users</v>
      </c>
      <c r="L37" s="13">
        <f t="shared" ref="L37:L59" si="9">IF(Q37="Sì",IF(H37="",0,0.3),0)</f>
        <v>0.3</v>
      </c>
      <c r="M37" s="14">
        <v>3</v>
      </c>
      <c r="N37" s="14">
        <v>2</v>
      </c>
      <c r="O37" s="13">
        <f>IFERROR(INDEX('Input survey A'!$C$12:$C$67,MATCH(C37,'Input survey A'!$A$12:$A$67,0)),"")</f>
        <v>1</v>
      </c>
      <c r="P37" s="39"/>
      <c r="Q37" s="7" t="str">
        <f t="shared" ref="Q37:Q59" si="10">IF(F37="MAT","No",IF(G37="","No",IF(M37="","No",IF(OR(NOT(ISNUMBER(O37)),O37&lt;1,O37&gt;4),"No","Sì"))))</f>
        <v>Sì</v>
      </c>
      <c r="R37" s="7" t="str">
        <f t="shared" ref="R37:R59" si="11">IF(F37="MAT","MAT - esclusa dal calcolo matrice",IF(G37="","Cod. 1 assente",IF(M37="","Peso PMI assente/non numerico",IF(NOT(ISNUMBER(O37)),"Risposta assente/non numerica",IF(OR(O37&lt;1,O37&gt;4),"Risposta fuori scala","Inclusa")))))</f>
        <v>Inclusa</v>
      </c>
      <c r="S37" s="13">
        <f t="shared" ref="S37:S59" si="12">IF(Q37="Sì",O37*M37*J37,0)</f>
        <v>2.0999999999999996</v>
      </c>
      <c r="T37" s="13">
        <f t="shared" ref="T37:T59" si="13">IF(Q37="Sì",M37*J37,0)</f>
        <v>2.0999999999999996</v>
      </c>
      <c r="U37" s="13">
        <f t="shared" ref="U37:U59" si="14">IF(Q37="Sì",O37*M37*L37,0)</f>
        <v>0.89999999999999991</v>
      </c>
      <c r="V37" s="13">
        <f t="shared" ref="V37:V59" si="15">IF(Q37="Sì",M37*L37,0)</f>
        <v>0.89999999999999991</v>
      </c>
      <c r="W37" s="7" t="s">
        <v>21</v>
      </c>
    </row>
    <row r="38" spans="1:23" ht="25.75" x14ac:dyDescent="0.4">
      <c r="A38" s="5">
        <v>35</v>
      </c>
      <c r="B38" s="5">
        <v>34</v>
      </c>
      <c r="C38" s="5" t="s">
        <v>86</v>
      </c>
      <c r="D38" s="5" t="s">
        <v>309</v>
      </c>
      <c r="E38" s="5" t="s">
        <v>310</v>
      </c>
      <c r="F38" s="5" t="s">
        <v>299</v>
      </c>
      <c r="G38" s="5" t="s">
        <v>299</v>
      </c>
      <c r="H38" s="5" t="s">
        <v>21</v>
      </c>
      <c r="I38" s="7" t="str">
        <f>IF(G38="","",IFERROR(VLOOKUP(G38,'Note e assunzioni'!$A$23:$B$32,2,FALSE),"Codice non mappato"))</f>
        <v>Monitoring</v>
      </c>
      <c r="J38" s="13">
        <f t="shared" si="8"/>
        <v>1</v>
      </c>
      <c r="K38" s="7" t="str">
        <f>IF(H38="","",IFERROR(VLOOKUP(H38,'Note e assunzioni'!$A$23:$B$32,2,FALSE),"Codice non mappato"))</f>
        <v/>
      </c>
      <c r="L38" s="13">
        <f t="shared" si="9"/>
        <v>0</v>
      </c>
      <c r="M38" s="14">
        <v>3</v>
      </c>
      <c r="N38" s="14">
        <v>2</v>
      </c>
      <c r="O38" s="13">
        <f>IFERROR(INDEX('Input survey A'!$C$12:$C$67,MATCH(C38,'Input survey A'!$A$12:$A$67,0)),"")</f>
        <v>1</v>
      </c>
      <c r="P38" s="39"/>
      <c r="Q38" s="7" t="str">
        <f t="shared" si="10"/>
        <v>Sì</v>
      </c>
      <c r="R38" s="7" t="str">
        <f t="shared" si="11"/>
        <v>Inclusa</v>
      </c>
      <c r="S38" s="13">
        <f t="shared" si="12"/>
        <v>3</v>
      </c>
      <c r="T38" s="13">
        <f t="shared" si="13"/>
        <v>3</v>
      </c>
      <c r="U38" s="13">
        <f t="shared" si="14"/>
        <v>0</v>
      </c>
      <c r="V38" s="13">
        <f t="shared" si="15"/>
        <v>0</v>
      </c>
      <c r="W38" s="7" t="s">
        <v>21</v>
      </c>
    </row>
    <row r="39" spans="1:23" x14ac:dyDescent="0.4">
      <c r="A39" s="5">
        <v>36</v>
      </c>
      <c r="B39" s="5">
        <v>35</v>
      </c>
      <c r="C39" s="5" t="s">
        <v>88</v>
      </c>
      <c r="D39" s="5" t="s">
        <v>309</v>
      </c>
      <c r="E39" s="5" t="s">
        <v>314</v>
      </c>
      <c r="F39" s="5" t="s">
        <v>311</v>
      </c>
      <c r="G39" s="5" t="s">
        <v>311</v>
      </c>
      <c r="H39" s="5" t="s">
        <v>21</v>
      </c>
      <c r="I39" s="7" t="str">
        <f>IF(G39="","",IFERROR(VLOOKUP(G39,'Note e assunzioni'!$A$23:$B$32,2,FALSE),"Codice non mappato"))</f>
        <v>End-users</v>
      </c>
      <c r="J39" s="13">
        <f t="shared" si="8"/>
        <v>1</v>
      </c>
      <c r="K39" s="7" t="str">
        <f>IF(H39="","",IFERROR(VLOOKUP(H39,'Note e assunzioni'!$A$23:$B$32,2,FALSE),"Codice non mappato"))</f>
        <v/>
      </c>
      <c r="L39" s="13">
        <f t="shared" si="9"/>
        <v>0</v>
      </c>
      <c r="M39" s="14">
        <v>3</v>
      </c>
      <c r="N39" s="14">
        <v>1.5</v>
      </c>
      <c r="O39" s="13">
        <f>IFERROR(INDEX('Input survey A'!$C$12:$C$67,MATCH(C39,'Input survey A'!$A$12:$A$67,0)),"")</f>
        <v>2</v>
      </c>
      <c r="P39" s="39"/>
      <c r="Q39" s="7" t="str">
        <f t="shared" si="10"/>
        <v>Sì</v>
      </c>
      <c r="R39" s="7" t="str">
        <f t="shared" si="11"/>
        <v>Inclusa</v>
      </c>
      <c r="S39" s="13">
        <f t="shared" si="12"/>
        <v>6</v>
      </c>
      <c r="T39" s="13">
        <f t="shared" si="13"/>
        <v>3</v>
      </c>
      <c r="U39" s="13">
        <f t="shared" si="14"/>
        <v>0</v>
      </c>
      <c r="V39" s="13">
        <f t="shared" si="15"/>
        <v>0</v>
      </c>
      <c r="W39" s="7" t="s">
        <v>21</v>
      </c>
    </row>
    <row r="40" spans="1:23" x14ac:dyDescent="0.4">
      <c r="A40" s="5">
        <v>37</v>
      </c>
      <c r="B40" s="5">
        <v>36</v>
      </c>
      <c r="C40" s="5" t="s">
        <v>90</v>
      </c>
      <c r="D40" s="5" t="s">
        <v>309</v>
      </c>
      <c r="E40" s="5" t="s">
        <v>314</v>
      </c>
      <c r="F40" s="5" t="s">
        <v>299</v>
      </c>
      <c r="G40" s="5" t="s">
        <v>299</v>
      </c>
      <c r="H40" s="5" t="s">
        <v>21</v>
      </c>
      <c r="I40" s="7" t="str">
        <f>IF(G40="","",IFERROR(VLOOKUP(G40,'Note e assunzioni'!$A$23:$B$32,2,FALSE),"Codice non mappato"))</f>
        <v>Monitoring</v>
      </c>
      <c r="J40" s="13">
        <f t="shared" si="8"/>
        <v>1</v>
      </c>
      <c r="K40" s="7" t="str">
        <f>IF(H40="","",IFERROR(VLOOKUP(H40,'Note e assunzioni'!$A$23:$B$32,2,FALSE),"Codice non mappato"))</f>
        <v/>
      </c>
      <c r="L40" s="13">
        <f t="shared" si="9"/>
        <v>0</v>
      </c>
      <c r="M40" s="14">
        <v>3</v>
      </c>
      <c r="N40" s="14">
        <v>2</v>
      </c>
      <c r="O40" s="13">
        <f>IFERROR(INDEX('Input survey A'!$C$12:$C$67,MATCH(C40,'Input survey A'!$A$12:$A$67,0)),"")</f>
        <v>2</v>
      </c>
      <c r="P40" s="39"/>
      <c r="Q40" s="7" t="str">
        <f t="shared" si="10"/>
        <v>Sì</v>
      </c>
      <c r="R40" s="7" t="str">
        <f t="shared" si="11"/>
        <v>Inclusa</v>
      </c>
      <c r="S40" s="13">
        <f t="shared" si="12"/>
        <v>6</v>
      </c>
      <c r="T40" s="13">
        <f t="shared" si="13"/>
        <v>3</v>
      </c>
      <c r="U40" s="13">
        <f t="shared" si="14"/>
        <v>0</v>
      </c>
      <c r="V40" s="13">
        <f t="shared" si="15"/>
        <v>0</v>
      </c>
      <c r="W40" s="7" t="s">
        <v>21</v>
      </c>
    </row>
    <row r="41" spans="1:23" x14ac:dyDescent="0.4">
      <c r="A41" s="5">
        <v>38</v>
      </c>
      <c r="B41" s="5">
        <v>37</v>
      </c>
      <c r="C41" s="5" t="s">
        <v>92</v>
      </c>
      <c r="D41" s="5" t="s">
        <v>309</v>
      </c>
      <c r="E41" s="5" t="s">
        <v>314</v>
      </c>
      <c r="F41" s="5" t="s">
        <v>315</v>
      </c>
      <c r="G41" s="5" t="s">
        <v>311</v>
      </c>
      <c r="H41" s="5" t="s">
        <v>299</v>
      </c>
      <c r="I41" s="7" t="str">
        <f>IF(G41="","",IFERROR(VLOOKUP(G41,'Note e assunzioni'!$A$23:$B$32,2,FALSE),"Codice non mappato"))</f>
        <v>End-users</v>
      </c>
      <c r="J41" s="13">
        <f t="shared" si="8"/>
        <v>0.7</v>
      </c>
      <c r="K41" s="7" t="str">
        <f>IF(H41="","",IFERROR(VLOOKUP(H41,'Note e assunzioni'!$A$23:$B$32,2,FALSE),"Codice non mappato"))</f>
        <v>Monitoring</v>
      </c>
      <c r="L41" s="13">
        <f t="shared" si="9"/>
        <v>0.3</v>
      </c>
      <c r="M41" s="14">
        <v>3</v>
      </c>
      <c r="N41" s="14">
        <v>2.5</v>
      </c>
      <c r="O41" s="13">
        <f>IFERROR(INDEX('Input survey A'!$C$12:$C$67,MATCH(C41,'Input survey A'!$A$12:$A$67,0)),"")</f>
        <v>1</v>
      </c>
      <c r="P41" s="39"/>
      <c r="Q41" s="7" t="str">
        <f t="shared" si="10"/>
        <v>Sì</v>
      </c>
      <c r="R41" s="7" t="str">
        <f t="shared" si="11"/>
        <v>Inclusa</v>
      </c>
      <c r="S41" s="13">
        <f t="shared" si="12"/>
        <v>2.0999999999999996</v>
      </c>
      <c r="T41" s="13">
        <f t="shared" si="13"/>
        <v>2.0999999999999996</v>
      </c>
      <c r="U41" s="13">
        <f t="shared" si="14"/>
        <v>0.89999999999999991</v>
      </c>
      <c r="V41" s="13">
        <f t="shared" si="15"/>
        <v>0.89999999999999991</v>
      </c>
      <c r="W41" s="7" t="s">
        <v>21</v>
      </c>
    </row>
    <row r="42" spans="1:23" x14ac:dyDescent="0.4">
      <c r="A42" s="5">
        <v>39</v>
      </c>
      <c r="B42" s="5">
        <v>38</v>
      </c>
      <c r="C42" s="5" t="s">
        <v>94</v>
      </c>
      <c r="D42" s="5" t="s">
        <v>277</v>
      </c>
      <c r="E42" s="5" t="s">
        <v>295</v>
      </c>
      <c r="F42" s="5" t="s">
        <v>316</v>
      </c>
      <c r="G42" s="5" t="s">
        <v>288</v>
      </c>
      <c r="H42" s="5" t="s">
        <v>311</v>
      </c>
      <c r="I42" s="7" t="str">
        <f>IF(G42="","",IFERROR(VLOOKUP(G42,'Note e assunzioni'!$A$23:$B$32,2,FALSE),"Codice non mappato"))</f>
        <v>Education &amp; Training</v>
      </c>
      <c r="J42" s="13">
        <f t="shared" si="8"/>
        <v>0.7</v>
      </c>
      <c r="K42" s="7" t="str">
        <f>IF(H42="","",IFERROR(VLOOKUP(H42,'Note e assunzioni'!$A$23:$B$32,2,FALSE),"Codice non mappato"))</f>
        <v>End-users</v>
      </c>
      <c r="L42" s="13">
        <f t="shared" si="9"/>
        <v>0.3</v>
      </c>
      <c r="M42" s="14">
        <v>1.5</v>
      </c>
      <c r="N42" s="14">
        <v>1</v>
      </c>
      <c r="O42" s="13">
        <f>IFERROR(INDEX('Input survey A'!$C$12:$C$67,MATCH(C42,'Input survey A'!$A$12:$A$67,0)),"")</f>
        <v>2</v>
      </c>
      <c r="P42" s="39"/>
      <c r="Q42" s="7" t="str">
        <f t="shared" si="10"/>
        <v>Sì</v>
      </c>
      <c r="R42" s="7" t="str">
        <f t="shared" si="11"/>
        <v>Inclusa</v>
      </c>
      <c r="S42" s="13">
        <f t="shared" si="12"/>
        <v>2.0999999999999996</v>
      </c>
      <c r="T42" s="13">
        <f t="shared" si="13"/>
        <v>1.0499999999999998</v>
      </c>
      <c r="U42" s="13">
        <f t="shared" si="14"/>
        <v>0.89999999999999991</v>
      </c>
      <c r="V42" s="13">
        <f t="shared" si="15"/>
        <v>0.44999999999999996</v>
      </c>
      <c r="W42" s="7" t="s">
        <v>21</v>
      </c>
    </row>
    <row r="43" spans="1:23" x14ac:dyDescent="0.4">
      <c r="A43" s="5">
        <v>40</v>
      </c>
      <c r="B43" s="5">
        <v>39</v>
      </c>
      <c r="C43" s="5" t="s">
        <v>96</v>
      </c>
      <c r="D43" s="5" t="s">
        <v>309</v>
      </c>
      <c r="E43" s="5" t="s">
        <v>314</v>
      </c>
      <c r="F43" s="5" t="s">
        <v>311</v>
      </c>
      <c r="G43" s="5" t="s">
        <v>311</v>
      </c>
      <c r="H43" s="5" t="s">
        <v>21</v>
      </c>
      <c r="I43" s="7" t="str">
        <f>IF(G43="","",IFERROR(VLOOKUP(G43,'Note e assunzioni'!$A$23:$B$32,2,FALSE),"Codice non mappato"))</f>
        <v>End-users</v>
      </c>
      <c r="J43" s="13">
        <f t="shared" si="8"/>
        <v>1</v>
      </c>
      <c r="K43" s="7" t="str">
        <f>IF(H43="","",IFERROR(VLOOKUP(H43,'Note e assunzioni'!$A$23:$B$32,2,FALSE),"Codice non mappato"))</f>
        <v/>
      </c>
      <c r="L43" s="13">
        <f t="shared" si="9"/>
        <v>0</v>
      </c>
      <c r="M43" s="14">
        <v>1.5</v>
      </c>
      <c r="N43" s="14">
        <v>1</v>
      </c>
      <c r="O43" s="13">
        <f>IFERROR(INDEX('Input survey A'!$C$12:$C$67,MATCH(C43,'Input survey A'!$A$12:$A$67,0)),"")</f>
        <v>2</v>
      </c>
      <c r="P43" s="39"/>
      <c r="Q43" s="7" t="str">
        <f t="shared" si="10"/>
        <v>Sì</v>
      </c>
      <c r="R43" s="7" t="str">
        <f t="shared" si="11"/>
        <v>Inclusa</v>
      </c>
      <c r="S43" s="13">
        <f t="shared" si="12"/>
        <v>3</v>
      </c>
      <c r="T43" s="13">
        <f t="shared" si="13"/>
        <v>1.5</v>
      </c>
      <c r="U43" s="13">
        <f t="shared" si="14"/>
        <v>0</v>
      </c>
      <c r="V43" s="13">
        <f t="shared" si="15"/>
        <v>0</v>
      </c>
      <c r="W43" s="7" t="s">
        <v>21</v>
      </c>
    </row>
    <row r="44" spans="1:23" x14ac:dyDescent="0.4">
      <c r="A44" s="5">
        <v>41</v>
      </c>
      <c r="B44" s="5">
        <v>40</v>
      </c>
      <c r="C44" s="5" t="s">
        <v>98</v>
      </c>
      <c r="D44" s="5" t="s">
        <v>309</v>
      </c>
      <c r="E44" s="5" t="s">
        <v>314</v>
      </c>
      <c r="F44" s="5" t="s">
        <v>317</v>
      </c>
      <c r="G44" s="5" t="s">
        <v>311</v>
      </c>
      <c r="H44" s="5" t="s">
        <v>280</v>
      </c>
      <c r="I44" s="7" t="str">
        <f>IF(G44="","",IFERROR(VLOOKUP(G44,'Note e assunzioni'!$A$23:$B$32,2,FALSE),"Codice non mappato"))</f>
        <v>End-users</v>
      </c>
      <c r="J44" s="13">
        <f t="shared" si="8"/>
        <v>0.7</v>
      </c>
      <c r="K44" s="7" t="str">
        <f>IF(H44="","",IFERROR(VLOOKUP(H44,'Note e assunzioni'!$A$23:$B$32,2,FALSE),"Codice non mappato"))</f>
        <v>Employees Engagement</v>
      </c>
      <c r="L44" s="13">
        <f t="shared" si="9"/>
        <v>0.3</v>
      </c>
      <c r="M44" s="14">
        <v>2.5</v>
      </c>
      <c r="N44" s="14">
        <v>1.5</v>
      </c>
      <c r="O44" s="13">
        <f>IFERROR(INDEX('Input survey A'!$C$12:$C$67,MATCH(C44,'Input survey A'!$A$12:$A$67,0)),"")</f>
        <v>2</v>
      </c>
      <c r="P44" s="39"/>
      <c r="Q44" s="7" t="str">
        <f t="shared" si="10"/>
        <v>Sì</v>
      </c>
      <c r="R44" s="7" t="str">
        <f t="shared" si="11"/>
        <v>Inclusa</v>
      </c>
      <c r="S44" s="13">
        <f t="shared" si="12"/>
        <v>3.5</v>
      </c>
      <c r="T44" s="13">
        <f t="shared" si="13"/>
        <v>1.75</v>
      </c>
      <c r="U44" s="13">
        <f t="shared" si="14"/>
        <v>1.5</v>
      </c>
      <c r="V44" s="13">
        <f t="shared" si="15"/>
        <v>0.75</v>
      </c>
      <c r="W44" s="7" t="s">
        <v>21</v>
      </c>
    </row>
    <row r="45" spans="1:23" x14ac:dyDescent="0.4">
      <c r="A45" s="5">
        <v>42</v>
      </c>
      <c r="B45" s="5">
        <v>41</v>
      </c>
      <c r="C45" s="5" t="s">
        <v>100</v>
      </c>
      <c r="D45" s="5" t="s">
        <v>309</v>
      </c>
      <c r="E45" s="5" t="s">
        <v>314</v>
      </c>
      <c r="F45" s="5" t="s">
        <v>311</v>
      </c>
      <c r="G45" s="5" t="s">
        <v>311</v>
      </c>
      <c r="H45" s="5" t="s">
        <v>21</v>
      </c>
      <c r="I45" s="7" t="str">
        <f>IF(G45="","",IFERROR(VLOOKUP(G45,'Note e assunzioni'!$A$23:$B$32,2,FALSE),"Codice non mappato"))</f>
        <v>End-users</v>
      </c>
      <c r="J45" s="13">
        <f t="shared" si="8"/>
        <v>1</v>
      </c>
      <c r="K45" s="7" t="str">
        <f>IF(H45="","",IFERROR(VLOOKUP(H45,'Note e assunzioni'!$A$23:$B$32,2,FALSE),"Codice non mappato"))</f>
        <v/>
      </c>
      <c r="L45" s="13">
        <f t="shared" si="9"/>
        <v>0</v>
      </c>
      <c r="M45" s="14">
        <v>1.5</v>
      </c>
      <c r="N45" s="14">
        <v>1</v>
      </c>
      <c r="O45" s="13">
        <f>IFERROR(INDEX('Input survey A'!$C$12:$C$67,MATCH(C45,'Input survey A'!$A$12:$A$67,0)),"")</f>
        <v>3</v>
      </c>
      <c r="P45" s="39"/>
      <c r="Q45" s="7" t="str">
        <f t="shared" si="10"/>
        <v>Sì</v>
      </c>
      <c r="R45" s="7" t="str">
        <f t="shared" si="11"/>
        <v>Inclusa</v>
      </c>
      <c r="S45" s="13">
        <f t="shared" si="12"/>
        <v>4.5</v>
      </c>
      <c r="T45" s="13">
        <f t="shared" si="13"/>
        <v>1.5</v>
      </c>
      <c r="U45" s="13">
        <f t="shared" si="14"/>
        <v>0</v>
      </c>
      <c r="V45" s="13">
        <f t="shared" si="15"/>
        <v>0</v>
      </c>
      <c r="W45" s="7" t="s">
        <v>21</v>
      </c>
    </row>
    <row r="46" spans="1:23" x14ac:dyDescent="0.4">
      <c r="A46" s="5">
        <v>43</v>
      </c>
      <c r="B46" s="5">
        <v>42</v>
      </c>
      <c r="C46" s="5" t="s">
        <v>102</v>
      </c>
      <c r="D46" s="5" t="s">
        <v>309</v>
      </c>
      <c r="E46" s="5" t="s">
        <v>314</v>
      </c>
      <c r="F46" s="5" t="s">
        <v>311</v>
      </c>
      <c r="G46" s="5" t="s">
        <v>311</v>
      </c>
      <c r="H46" s="5" t="s">
        <v>21</v>
      </c>
      <c r="I46" s="7" t="str">
        <f>IF(G46="","",IFERROR(VLOOKUP(G46,'Note e assunzioni'!$A$23:$B$32,2,FALSE),"Codice non mappato"))</f>
        <v>End-users</v>
      </c>
      <c r="J46" s="13">
        <f t="shared" si="8"/>
        <v>1</v>
      </c>
      <c r="K46" s="7" t="str">
        <f>IF(H46="","",IFERROR(VLOOKUP(H46,'Note e assunzioni'!$A$23:$B$32,2,FALSE),"Codice non mappato"))</f>
        <v/>
      </c>
      <c r="L46" s="13">
        <f t="shared" si="9"/>
        <v>0</v>
      </c>
      <c r="M46" s="14">
        <v>1.5</v>
      </c>
      <c r="N46" s="14">
        <v>1</v>
      </c>
      <c r="O46" s="13">
        <f>IFERROR(INDEX('Input survey A'!$C$12:$C$67,MATCH(C46,'Input survey A'!$A$12:$A$67,0)),"")</f>
        <v>2</v>
      </c>
      <c r="P46" s="39"/>
      <c r="Q46" s="7" t="str">
        <f t="shared" si="10"/>
        <v>Sì</v>
      </c>
      <c r="R46" s="7" t="str">
        <f t="shared" si="11"/>
        <v>Inclusa</v>
      </c>
      <c r="S46" s="13">
        <f t="shared" si="12"/>
        <v>3</v>
      </c>
      <c r="T46" s="13">
        <f t="shared" si="13"/>
        <v>1.5</v>
      </c>
      <c r="U46" s="13">
        <f t="shared" si="14"/>
        <v>0</v>
      </c>
      <c r="V46" s="13">
        <f t="shared" si="15"/>
        <v>0</v>
      </c>
      <c r="W46" s="7" t="s">
        <v>21</v>
      </c>
    </row>
    <row r="47" spans="1:23" x14ac:dyDescent="0.4">
      <c r="A47" s="5">
        <v>44</v>
      </c>
      <c r="B47" s="5">
        <v>43</v>
      </c>
      <c r="C47" s="5" t="s">
        <v>104</v>
      </c>
      <c r="D47" s="5" t="s">
        <v>284</v>
      </c>
      <c r="E47" s="5" t="s">
        <v>318</v>
      </c>
      <c r="F47" s="5" t="s">
        <v>319</v>
      </c>
      <c r="G47" s="5" t="s">
        <v>290</v>
      </c>
      <c r="H47" s="5" t="s">
        <v>311</v>
      </c>
      <c r="I47" s="7" t="str">
        <f>IF(G47="","",IFERROR(VLOOKUP(G47,'Note e assunzioni'!$A$23:$B$32,2,FALSE),"Codice non mappato"))</f>
        <v>Employment</v>
      </c>
      <c r="J47" s="13">
        <f t="shared" si="8"/>
        <v>0.7</v>
      </c>
      <c r="K47" s="7" t="str">
        <f>IF(H47="","",IFERROR(VLOOKUP(H47,'Note e assunzioni'!$A$23:$B$32,2,FALSE),"Codice non mappato"))</f>
        <v>End-users</v>
      </c>
      <c r="L47" s="13">
        <f t="shared" si="9"/>
        <v>0.3</v>
      </c>
      <c r="M47" s="14">
        <v>3</v>
      </c>
      <c r="N47" s="14">
        <v>2</v>
      </c>
      <c r="O47" s="13">
        <f>IFERROR(INDEX('Input survey A'!$C$12:$C$67,MATCH(C47,'Input survey A'!$A$12:$A$67,0)),"")</f>
        <v>3</v>
      </c>
      <c r="P47" s="39"/>
      <c r="Q47" s="7" t="str">
        <f t="shared" si="10"/>
        <v>Sì</v>
      </c>
      <c r="R47" s="7" t="str">
        <f t="shared" si="11"/>
        <v>Inclusa</v>
      </c>
      <c r="S47" s="13">
        <f t="shared" si="12"/>
        <v>6.3</v>
      </c>
      <c r="T47" s="13">
        <f t="shared" si="13"/>
        <v>2.0999999999999996</v>
      </c>
      <c r="U47" s="13">
        <f t="shared" si="14"/>
        <v>2.6999999999999997</v>
      </c>
      <c r="V47" s="13">
        <f t="shared" si="15"/>
        <v>0.89999999999999991</v>
      </c>
      <c r="W47" s="7" t="s">
        <v>21</v>
      </c>
    </row>
    <row r="48" spans="1:23" x14ac:dyDescent="0.4">
      <c r="A48" s="5">
        <v>45</v>
      </c>
      <c r="B48" s="5">
        <v>44</v>
      </c>
      <c r="C48" s="5" t="s">
        <v>106</v>
      </c>
      <c r="D48" s="5" t="s">
        <v>284</v>
      </c>
      <c r="E48" s="5" t="s">
        <v>318</v>
      </c>
      <c r="F48" s="5" t="s">
        <v>320</v>
      </c>
      <c r="G48" s="5" t="s">
        <v>170</v>
      </c>
      <c r="H48" s="5" t="s">
        <v>21</v>
      </c>
      <c r="I48" s="7" t="str">
        <f>IF(G48="","",IFERROR(VLOOKUP(G48,'Note e assunzioni'!$A$23:$B$32,2,FALSE),"Codice non mappato"))</f>
        <v>HR</v>
      </c>
      <c r="J48" s="13">
        <f t="shared" si="8"/>
        <v>1</v>
      </c>
      <c r="K48" s="7" t="str">
        <f>IF(H48="","",IFERROR(VLOOKUP(H48,'Note e assunzioni'!$A$23:$B$32,2,FALSE),"Codice non mappato"))</f>
        <v/>
      </c>
      <c r="L48" s="13">
        <f t="shared" si="9"/>
        <v>0</v>
      </c>
      <c r="M48" s="14">
        <v>3</v>
      </c>
      <c r="N48" s="14">
        <v>2</v>
      </c>
      <c r="O48" s="13">
        <f>IFERROR(INDEX('Input survey A'!$C$12:$C$67,MATCH(C48,'Input survey A'!$A$12:$A$67,0)),"")</f>
        <v>2</v>
      </c>
      <c r="P48" s="39"/>
      <c r="Q48" s="7" t="str">
        <f t="shared" si="10"/>
        <v>Sì</v>
      </c>
      <c r="R48" s="7" t="str">
        <f t="shared" si="11"/>
        <v>Inclusa</v>
      </c>
      <c r="S48" s="13">
        <f t="shared" si="12"/>
        <v>6</v>
      </c>
      <c r="T48" s="13">
        <f t="shared" si="13"/>
        <v>3</v>
      </c>
      <c r="U48" s="13">
        <f t="shared" si="14"/>
        <v>0</v>
      </c>
      <c r="V48" s="13">
        <f t="shared" si="15"/>
        <v>0</v>
      </c>
      <c r="W48" s="7" t="s">
        <v>21</v>
      </c>
    </row>
    <row r="49" spans="1:23" x14ac:dyDescent="0.4">
      <c r="A49" s="5">
        <v>46</v>
      </c>
      <c r="B49" s="5">
        <v>45</v>
      </c>
      <c r="C49" s="5" t="s">
        <v>108</v>
      </c>
      <c r="D49" s="5" t="s">
        <v>284</v>
      </c>
      <c r="E49" s="5" t="s">
        <v>318</v>
      </c>
      <c r="F49" s="5" t="s">
        <v>282</v>
      </c>
      <c r="G49" s="5" t="s">
        <v>282</v>
      </c>
      <c r="H49" s="5" t="s">
        <v>21</v>
      </c>
      <c r="I49" s="7" t="str">
        <f>IF(G49="","",IFERROR(VLOOKUP(G49,'Note e assunzioni'!$A$23:$B$32,2,FALSE),"Codice non mappato"))</f>
        <v>Non-discrimination</v>
      </c>
      <c r="J49" s="13">
        <f t="shared" si="8"/>
        <v>0</v>
      </c>
      <c r="K49" s="7" t="str">
        <f>IF(H49="","",IFERROR(VLOOKUP(H49,'Note e assunzioni'!$A$23:$B$32,2,FALSE),"Codice non mappato"))</f>
        <v/>
      </c>
      <c r="L49" s="13">
        <f t="shared" si="9"/>
        <v>0</v>
      </c>
      <c r="M49" s="14"/>
      <c r="N49" s="14"/>
      <c r="O49" s="13">
        <f>IFERROR(INDEX('Input survey A'!$C$12:$C$67,MATCH(C49,'Input survey A'!$A$12:$A$67,0)),"")</f>
        <v>2</v>
      </c>
      <c r="P49" s="39"/>
      <c r="Q49" s="7" t="str">
        <f t="shared" si="10"/>
        <v>No</v>
      </c>
      <c r="R49" s="7" t="str">
        <f t="shared" si="11"/>
        <v>Peso PMI assente/non numerico</v>
      </c>
      <c r="S49" s="13">
        <f t="shared" si="12"/>
        <v>0</v>
      </c>
      <c r="T49" s="13">
        <f t="shared" si="13"/>
        <v>0</v>
      </c>
      <c r="U49" s="13">
        <f t="shared" si="14"/>
        <v>0</v>
      </c>
      <c r="V49" s="13">
        <f t="shared" si="15"/>
        <v>0</v>
      </c>
      <c r="W49" s="8" t="s">
        <v>321</v>
      </c>
    </row>
    <row r="50" spans="1:23" x14ac:dyDescent="0.4">
      <c r="A50" s="5">
        <v>47</v>
      </c>
      <c r="B50" s="5">
        <v>46</v>
      </c>
      <c r="C50" s="5" t="s">
        <v>110</v>
      </c>
      <c r="D50" s="5" t="s">
        <v>309</v>
      </c>
      <c r="E50" s="5" t="s">
        <v>322</v>
      </c>
      <c r="F50" s="5" t="s">
        <v>299</v>
      </c>
      <c r="G50" s="5" t="s">
        <v>299</v>
      </c>
      <c r="H50" s="5" t="s">
        <v>21</v>
      </c>
      <c r="I50" s="7" t="str">
        <f>IF(G50="","",IFERROR(VLOOKUP(G50,'Note e assunzioni'!$A$23:$B$32,2,FALSE),"Codice non mappato"))</f>
        <v>Monitoring</v>
      </c>
      <c r="J50" s="13">
        <f t="shared" si="8"/>
        <v>1</v>
      </c>
      <c r="K50" s="7" t="str">
        <f>IF(H50="","",IFERROR(VLOOKUP(H50,'Note e assunzioni'!$A$23:$B$32,2,FALSE),"Codice non mappato"))</f>
        <v/>
      </c>
      <c r="L50" s="13">
        <f t="shared" si="9"/>
        <v>0</v>
      </c>
      <c r="M50" s="14">
        <v>2.5</v>
      </c>
      <c r="N50" s="14">
        <v>1.5</v>
      </c>
      <c r="O50" s="13">
        <f>IFERROR(INDEX('Input survey A'!$C$12:$C$67,MATCH(C50,'Input survey A'!$A$12:$A$67,0)),"")</f>
        <v>2</v>
      </c>
      <c r="P50" s="39"/>
      <c r="Q50" s="7" t="str">
        <f t="shared" si="10"/>
        <v>Sì</v>
      </c>
      <c r="R50" s="7" t="str">
        <f t="shared" si="11"/>
        <v>Inclusa</v>
      </c>
      <c r="S50" s="13">
        <f t="shared" si="12"/>
        <v>5</v>
      </c>
      <c r="T50" s="13">
        <f t="shared" si="13"/>
        <v>2.5</v>
      </c>
      <c r="U50" s="13">
        <f t="shared" si="14"/>
        <v>0</v>
      </c>
      <c r="V50" s="13">
        <f t="shared" si="15"/>
        <v>0</v>
      </c>
      <c r="W50" s="7" t="s">
        <v>21</v>
      </c>
    </row>
    <row r="51" spans="1:23" x14ac:dyDescent="0.4">
      <c r="A51" s="5">
        <v>48</v>
      </c>
      <c r="B51" s="5">
        <v>47</v>
      </c>
      <c r="C51" s="5" t="s">
        <v>112</v>
      </c>
      <c r="D51" s="5" t="s">
        <v>309</v>
      </c>
      <c r="E51" s="5" t="s">
        <v>322</v>
      </c>
      <c r="F51" s="5" t="s">
        <v>323</v>
      </c>
      <c r="G51" s="5" t="s">
        <v>323</v>
      </c>
      <c r="H51" s="5" t="s">
        <v>21</v>
      </c>
      <c r="I51" s="7" t="str">
        <f>IF(G51="","",IFERROR(VLOOKUP(G51,'Note e assunzioni'!$A$23:$B$32,2,FALSE),"Codice non mappato"))</f>
        <v>Communities</v>
      </c>
      <c r="J51" s="13">
        <f t="shared" si="8"/>
        <v>1</v>
      </c>
      <c r="K51" s="7" t="str">
        <f>IF(H51="","",IFERROR(VLOOKUP(H51,'Note e assunzioni'!$A$23:$B$32,2,FALSE),"Codice non mappato"))</f>
        <v/>
      </c>
      <c r="L51" s="13">
        <f t="shared" si="9"/>
        <v>0</v>
      </c>
      <c r="M51" s="14">
        <v>2.5</v>
      </c>
      <c r="N51" s="14">
        <v>1.5</v>
      </c>
      <c r="O51" s="13">
        <f>IFERROR(INDEX('Input survey A'!$C$12:$C$67,MATCH(C51,'Input survey A'!$A$12:$A$67,0)),"")</f>
        <v>4</v>
      </c>
      <c r="P51" s="39"/>
      <c r="Q51" s="7" t="str">
        <f t="shared" si="10"/>
        <v>Sì</v>
      </c>
      <c r="R51" s="7" t="str">
        <f t="shared" si="11"/>
        <v>Inclusa</v>
      </c>
      <c r="S51" s="13">
        <f t="shared" si="12"/>
        <v>10</v>
      </c>
      <c r="T51" s="13">
        <f t="shared" si="13"/>
        <v>2.5</v>
      </c>
      <c r="U51" s="13">
        <f t="shared" si="14"/>
        <v>0</v>
      </c>
      <c r="V51" s="13">
        <f t="shared" si="15"/>
        <v>0</v>
      </c>
      <c r="W51" s="7" t="s">
        <v>21</v>
      </c>
    </row>
    <row r="52" spans="1:23" x14ac:dyDescent="0.4">
      <c r="A52" s="5">
        <v>49</v>
      </c>
      <c r="B52" s="5">
        <v>48</v>
      </c>
      <c r="C52" s="5" t="s">
        <v>114</v>
      </c>
      <c r="D52" s="5" t="s">
        <v>309</v>
      </c>
      <c r="E52" s="5" t="s">
        <v>322</v>
      </c>
      <c r="F52" s="5" t="s">
        <v>323</v>
      </c>
      <c r="G52" s="5" t="s">
        <v>323</v>
      </c>
      <c r="H52" s="5" t="s">
        <v>21</v>
      </c>
      <c r="I52" s="7" t="str">
        <f>IF(G52="","",IFERROR(VLOOKUP(G52,'Note e assunzioni'!$A$23:$B$32,2,FALSE),"Codice non mappato"))</f>
        <v>Communities</v>
      </c>
      <c r="J52" s="13">
        <f t="shared" si="8"/>
        <v>1</v>
      </c>
      <c r="K52" s="7" t="str">
        <f>IF(H52="","",IFERROR(VLOOKUP(H52,'Note e assunzioni'!$A$23:$B$32,2,FALSE),"Codice non mappato"))</f>
        <v/>
      </c>
      <c r="L52" s="13">
        <f t="shared" si="9"/>
        <v>0</v>
      </c>
      <c r="M52" s="14">
        <v>2.5</v>
      </c>
      <c r="N52" s="14">
        <v>2</v>
      </c>
      <c r="O52" s="13">
        <f>IFERROR(INDEX('Input survey A'!$C$12:$C$67,MATCH(C52,'Input survey A'!$A$12:$A$67,0)),"")</f>
        <v>4</v>
      </c>
      <c r="P52" s="39"/>
      <c r="Q52" s="7" t="str">
        <f t="shared" si="10"/>
        <v>Sì</v>
      </c>
      <c r="R52" s="7" t="str">
        <f t="shared" si="11"/>
        <v>Inclusa</v>
      </c>
      <c r="S52" s="13">
        <f t="shared" si="12"/>
        <v>10</v>
      </c>
      <c r="T52" s="13">
        <f t="shared" si="13"/>
        <v>2.5</v>
      </c>
      <c r="U52" s="13">
        <f t="shared" si="14"/>
        <v>0</v>
      </c>
      <c r="V52" s="13">
        <f t="shared" si="15"/>
        <v>0</v>
      </c>
      <c r="W52" s="7" t="s">
        <v>21</v>
      </c>
    </row>
    <row r="53" spans="1:23" x14ac:dyDescent="0.4">
      <c r="A53" s="5">
        <v>50</v>
      </c>
      <c r="B53" s="5">
        <v>49</v>
      </c>
      <c r="C53" s="5" t="s">
        <v>116</v>
      </c>
      <c r="D53" s="5" t="s">
        <v>309</v>
      </c>
      <c r="E53" s="5" t="s">
        <v>322</v>
      </c>
      <c r="F53" s="5" t="s">
        <v>324</v>
      </c>
      <c r="G53" s="5" t="s">
        <v>324</v>
      </c>
      <c r="H53" s="5" t="s">
        <v>21</v>
      </c>
      <c r="I53" s="7" t="str">
        <f>IF(G53="","",IFERROR(VLOOKUP(G53,'Note e assunzioni'!$A$23:$B$32,2,FALSE),"Codice non mappato"))</f>
        <v>Supply Chain Diversity</v>
      </c>
      <c r="J53" s="13">
        <f t="shared" si="8"/>
        <v>1</v>
      </c>
      <c r="K53" s="7" t="str">
        <f>IF(H53="","",IFERROR(VLOOKUP(H53,'Note e assunzioni'!$A$23:$B$32,2,FALSE),"Codice non mappato"))</f>
        <v/>
      </c>
      <c r="L53" s="13">
        <f t="shared" si="9"/>
        <v>0</v>
      </c>
      <c r="M53" s="14">
        <v>2</v>
      </c>
      <c r="N53" s="14">
        <v>1</v>
      </c>
      <c r="O53" s="13">
        <f>IFERROR(INDEX('Input survey A'!$C$12:$C$67,MATCH(C53,'Input survey A'!$A$12:$A$67,0)),"")</f>
        <v>2</v>
      </c>
      <c r="P53" s="39"/>
      <c r="Q53" s="7" t="str">
        <f t="shared" si="10"/>
        <v>Sì</v>
      </c>
      <c r="R53" s="7" t="str">
        <f t="shared" si="11"/>
        <v>Inclusa</v>
      </c>
      <c r="S53" s="13">
        <f t="shared" si="12"/>
        <v>4</v>
      </c>
      <c r="T53" s="13">
        <f t="shared" si="13"/>
        <v>2</v>
      </c>
      <c r="U53" s="13">
        <f t="shared" si="14"/>
        <v>0</v>
      </c>
      <c r="V53" s="13">
        <f t="shared" si="15"/>
        <v>0</v>
      </c>
      <c r="W53" s="7" t="s">
        <v>21</v>
      </c>
    </row>
    <row r="54" spans="1:23" x14ac:dyDescent="0.4">
      <c r="A54" s="5">
        <v>51</v>
      </c>
      <c r="B54" s="5">
        <v>50</v>
      </c>
      <c r="C54" s="5" t="s">
        <v>122</v>
      </c>
      <c r="D54" s="5" t="s">
        <v>302</v>
      </c>
      <c r="E54" s="5" t="s">
        <v>325</v>
      </c>
      <c r="F54" s="5" t="s">
        <v>326</v>
      </c>
      <c r="G54" s="5" t="s">
        <v>280</v>
      </c>
      <c r="H54" s="5" t="s">
        <v>299</v>
      </c>
      <c r="I54" s="7" t="str">
        <f>IF(G54="","",IFERROR(VLOOKUP(G54,'Note e assunzioni'!$A$23:$B$32,2,FALSE),"Codice non mappato"))</f>
        <v>Employees Engagement</v>
      </c>
      <c r="J54" s="13">
        <f t="shared" si="8"/>
        <v>0.7</v>
      </c>
      <c r="K54" s="7" t="str">
        <f>IF(H54="","",IFERROR(VLOOKUP(H54,'Note e assunzioni'!$A$23:$B$32,2,FALSE),"Codice non mappato"))</f>
        <v>Monitoring</v>
      </c>
      <c r="L54" s="13">
        <f t="shared" si="9"/>
        <v>0.3</v>
      </c>
      <c r="M54" s="14">
        <v>1.5</v>
      </c>
      <c r="N54" s="14">
        <v>1</v>
      </c>
      <c r="O54" s="13">
        <f>IFERROR(INDEX('Input survey A'!$C$12:$C$67,MATCH(C54,'Input survey A'!$A$12:$A$67,0)),"")</f>
        <v>3</v>
      </c>
      <c r="P54" s="39"/>
      <c r="Q54" s="7" t="str">
        <f t="shared" si="10"/>
        <v>Sì</v>
      </c>
      <c r="R54" s="7" t="str">
        <f t="shared" si="11"/>
        <v>Inclusa</v>
      </c>
      <c r="S54" s="13">
        <f t="shared" si="12"/>
        <v>3.15</v>
      </c>
      <c r="T54" s="13">
        <f t="shared" si="13"/>
        <v>1.0499999999999998</v>
      </c>
      <c r="U54" s="13">
        <f t="shared" si="14"/>
        <v>1.3499999999999999</v>
      </c>
      <c r="V54" s="13">
        <f t="shared" si="15"/>
        <v>0.44999999999999996</v>
      </c>
      <c r="W54" s="7" t="s">
        <v>21</v>
      </c>
    </row>
    <row r="55" spans="1:23" x14ac:dyDescent="0.4">
      <c r="A55" s="5">
        <v>52</v>
      </c>
      <c r="B55" s="5">
        <v>51</v>
      </c>
      <c r="C55" s="5" t="s">
        <v>124</v>
      </c>
      <c r="D55" s="5" t="s">
        <v>302</v>
      </c>
      <c r="E55" s="5" t="s">
        <v>325</v>
      </c>
      <c r="F55" s="5" t="s">
        <v>299</v>
      </c>
      <c r="G55" s="5" t="s">
        <v>299</v>
      </c>
      <c r="H55" s="5" t="s">
        <v>21</v>
      </c>
      <c r="I55" s="7" t="str">
        <f>IF(G55="","",IFERROR(VLOOKUP(G55,'Note e assunzioni'!$A$23:$B$32,2,FALSE),"Codice non mappato"))</f>
        <v>Monitoring</v>
      </c>
      <c r="J55" s="13">
        <f t="shared" si="8"/>
        <v>1</v>
      </c>
      <c r="K55" s="7" t="str">
        <f>IF(H55="","",IFERROR(VLOOKUP(H55,'Note e assunzioni'!$A$23:$B$32,2,FALSE),"Codice non mappato"))</f>
        <v/>
      </c>
      <c r="L55" s="13">
        <f t="shared" si="9"/>
        <v>0</v>
      </c>
      <c r="M55" s="14">
        <v>2.5</v>
      </c>
      <c r="N55" s="14">
        <v>1.5</v>
      </c>
      <c r="O55" s="13">
        <f>IFERROR(INDEX('Input survey A'!$C$12:$C$67,MATCH(C55,'Input survey A'!$A$12:$A$67,0)),"")</f>
        <v>3</v>
      </c>
      <c r="P55" s="39"/>
      <c r="Q55" s="7" t="str">
        <f t="shared" si="10"/>
        <v>Sì</v>
      </c>
      <c r="R55" s="7" t="str">
        <f t="shared" si="11"/>
        <v>Inclusa</v>
      </c>
      <c r="S55" s="13">
        <f t="shared" si="12"/>
        <v>7.5</v>
      </c>
      <c r="T55" s="13">
        <f t="shared" si="13"/>
        <v>2.5</v>
      </c>
      <c r="U55" s="13">
        <f t="shared" si="14"/>
        <v>0</v>
      </c>
      <c r="V55" s="13">
        <f t="shared" si="15"/>
        <v>0</v>
      </c>
      <c r="W55" s="7" t="s">
        <v>21</v>
      </c>
    </row>
    <row r="56" spans="1:23" x14ac:dyDescent="0.4">
      <c r="A56" s="5">
        <v>53</v>
      </c>
      <c r="B56" s="5">
        <v>52</v>
      </c>
      <c r="C56" s="5" t="s">
        <v>126</v>
      </c>
      <c r="D56" s="5" t="s">
        <v>302</v>
      </c>
      <c r="E56" s="5" t="s">
        <v>303</v>
      </c>
      <c r="F56" s="5" t="s">
        <v>304</v>
      </c>
      <c r="G56" s="5" t="s">
        <v>304</v>
      </c>
      <c r="H56" s="5" t="s">
        <v>21</v>
      </c>
      <c r="I56" s="7" t="str">
        <f>IF(G56="","",IFERROR(VLOOKUP(G56,'Note e assunzioni'!$A$23:$B$32,2,FALSE),"Codice non mappato"))</f>
        <v>Foundation</v>
      </c>
      <c r="J56" s="13">
        <f t="shared" si="8"/>
        <v>1</v>
      </c>
      <c r="K56" s="7" t="str">
        <f>IF(H56="","",IFERROR(VLOOKUP(H56,'Note e assunzioni'!$A$23:$B$32,2,FALSE),"Codice non mappato"))</f>
        <v/>
      </c>
      <c r="L56" s="13">
        <f t="shared" si="9"/>
        <v>0</v>
      </c>
      <c r="M56" s="14">
        <v>1.5</v>
      </c>
      <c r="N56" s="14">
        <v>1</v>
      </c>
      <c r="O56" s="13">
        <f>IFERROR(INDEX('Input survey A'!$C$12:$C$67,MATCH(C56,'Input survey A'!$A$12:$A$67,0)),"")</f>
        <v>2</v>
      </c>
      <c r="P56" s="39"/>
      <c r="Q56" s="7" t="str">
        <f t="shared" si="10"/>
        <v>Sì</v>
      </c>
      <c r="R56" s="7" t="str">
        <f t="shared" si="11"/>
        <v>Inclusa</v>
      </c>
      <c r="S56" s="13">
        <f t="shared" si="12"/>
        <v>3</v>
      </c>
      <c r="T56" s="13">
        <f t="shared" si="13"/>
        <v>1.5</v>
      </c>
      <c r="U56" s="13">
        <f t="shared" si="14"/>
        <v>0</v>
      </c>
      <c r="V56" s="13">
        <f t="shared" si="15"/>
        <v>0</v>
      </c>
      <c r="W56" s="7" t="s">
        <v>21</v>
      </c>
    </row>
    <row r="57" spans="1:23" x14ac:dyDescent="0.4">
      <c r="A57" s="5">
        <v>54</v>
      </c>
      <c r="B57" s="5">
        <v>53</v>
      </c>
      <c r="C57" s="5" t="s">
        <v>128</v>
      </c>
      <c r="D57" s="5" t="s">
        <v>302</v>
      </c>
      <c r="E57" s="5" t="s">
        <v>303</v>
      </c>
      <c r="F57" s="5" t="s">
        <v>304</v>
      </c>
      <c r="G57" s="5" t="s">
        <v>304</v>
      </c>
      <c r="H57" s="5" t="s">
        <v>21</v>
      </c>
      <c r="I57" s="7" t="str">
        <f>IF(G57="","",IFERROR(VLOOKUP(G57,'Note e assunzioni'!$A$23:$B$32,2,FALSE),"Codice non mappato"))</f>
        <v>Foundation</v>
      </c>
      <c r="J57" s="13">
        <f t="shared" si="8"/>
        <v>1</v>
      </c>
      <c r="K57" s="7" t="str">
        <f>IF(H57="","",IFERROR(VLOOKUP(H57,'Note e assunzioni'!$A$23:$B$32,2,FALSE),"Codice non mappato"))</f>
        <v/>
      </c>
      <c r="L57" s="13">
        <f t="shared" si="9"/>
        <v>0</v>
      </c>
      <c r="M57" s="14">
        <v>1.5</v>
      </c>
      <c r="N57" s="14">
        <v>1</v>
      </c>
      <c r="O57" s="13">
        <f>IFERROR(INDEX('Input survey A'!$C$12:$C$67,MATCH(C57,'Input survey A'!$A$12:$A$67,0)),"")</f>
        <v>2</v>
      </c>
      <c r="P57" s="39"/>
      <c r="Q57" s="7" t="str">
        <f t="shared" si="10"/>
        <v>Sì</v>
      </c>
      <c r="R57" s="7" t="str">
        <f t="shared" si="11"/>
        <v>Inclusa</v>
      </c>
      <c r="S57" s="13">
        <f t="shared" si="12"/>
        <v>3</v>
      </c>
      <c r="T57" s="13">
        <f t="shared" si="13"/>
        <v>1.5</v>
      </c>
      <c r="U57" s="13">
        <f t="shared" si="14"/>
        <v>0</v>
      </c>
      <c r="V57" s="13">
        <f t="shared" si="15"/>
        <v>0</v>
      </c>
      <c r="W57" s="7" t="s">
        <v>21</v>
      </c>
    </row>
    <row r="58" spans="1:23" x14ac:dyDescent="0.4">
      <c r="A58" s="5">
        <v>55</v>
      </c>
      <c r="B58" s="5">
        <v>54</v>
      </c>
      <c r="C58" s="5" t="s">
        <v>130</v>
      </c>
      <c r="D58" s="5" t="s">
        <v>302</v>
      </c>
      <c r="E58" s="5" t="s">
        <v>303</v>
      </c>
      <c r="F58" s="5" t="s">
        <v>327</v>
      </c>
      <c r="G58" s="5" t="s">
        <v>304</v>
      </c>
      <c r="H58" s="5" t="s">
        <v>299</v>
      </c>
      <c r="I58" s="7" t="str">
        <f>IF(G58="","",IFERROR(VLOOKUP(G58,'Note e assunzioni'!$A$23:$B$32,2,FALSE),"Codice non mappato"))</f>
        <v>Foundation</v>
      </c>
      <c r="J58" s="13">
        <f t="shared" si="8"/>
        <v>0.7</v>
      </c>
      <c r="K58" s="7" t="str">
        <f>IF(H58="","",IFERROR(VLOOKUP(H58,'Note e assunzioni'!$A$23:$B$32,2,FALSE),"Codice non mappato"))</f>
        <v>Monitoring</v>
      </c>
      <c r="L58" s="13">
        <f t="shared" si="9"/>
        <v>0.3</v>
      </c>
      <c r="M58" s="14">
        <v>1.5</v>
      </c>
      <c r="N58" s="14">
        <v>1</v>
      </c>
      <c r="O58" s="13">
        <f>IFERROR(INDEX('Input survey A'!$C$12:$C$67,MATCH(C58,'Input survey A'!$A$12:$A$67,0)),"")</f>
        <v>3</v>
      </c>
      <c r="P58" s="39"/>
      <c r="Q58" s="7" t="str">
        <f t="shared" si="10"/>
        <v>Sì</v>
      </c>
      <c r="R58" s="7" t="str">
        <f t="shared" si="11"/>
        <v>Inclusa</v>
      </c>
      <c r="S58" s="13">
        <f t="shared" si="12"/>
        <v>3.15</v>
      </c>
      <c r="T58" s="13">
        <f t="shared" si="13"/>
        <v>1.0499999999999998</v>
      </c>
      <c r="U58" s="13">
        <f t="shared" si="14"/>
        <v>1.3499999999999999</v>
      </c>
      <c r="V58" s="13">
        <f t="shared" si="15"/>
        <v>0.44999999999999996</v>
      </c>
      <c r="W58" s="7" t="s">
        <v>21</v>
      </c>
    </row>
    <row r="59" spans="1:23" x14ac:dyDescent="0.4">
      <c r="A59" s="5">
        <v>56</v>
      </c>
      <c r="B59" s="5">
        <v>55</v>
      </c>
      <c r="C59" s="5" t="s">
        <v>132</v>
      </c>
      <c r="D59" s="5" t="s">
        <v>302</v>
      </c>
      <c r="E59" s="5" t="s">
        <v>303</v>
      </c>
      <c r="F59" s="5" t="s">
        <v>327</v>
      </c>
      <c r="G59" s="5" t="s">
        <v>304</v>
      </c>
      <c r="H59" s="5" t="s">
        <v>299</v>
      </c>
      <c r="I59" s="7" t="str">
        <f>IF(G59="","",IFERROR(VLOOKUP(G59,'Note e assunzioni'!$A$23:$B$32,2,FALSE),"Codice non mappato"))</f>
        <v>Foundation</v>
      </c>
      <c r="J59" s="13">
        <f t="shared" si="8"/>
        <v>0.7</v>
      </c>
      <c r="K59" s="7" t="str">
        <f>IF(H59="","",IFERROR(VLOOKUP(H59,'Note e assunzioni'!$A$23:$B$32,2,FALSE),"Codice non mappato"))</f>
        <v>Monitoring</v>
      </c>
      <c r="L59" s="13">
        <f t="shared" si="9"/>
        <v>0.3</v>
      </c>
      <c r="M59" s="14">
        <v>3</v>
      </c>
      <c r="N59" s="14">
        <v>2</v>
      </c>
      <c r="O59" s="13">
        <f>IFERROR(INDEX('Input survey A'!$C$12:$C$67,MATCH(C59,'Input survey A'!$A$12:$A$67,0)),"")</f>
        <v>1</v>
      </c>
      <c r="P59" s="39"/>
      <c r="Q59" s="7" t="str">
        <f t="shared" si="10"/>
        <v>Sì</v>
      </c>
      <c r="R59" s="7" t="str">
        <f t="shared" si="11"/>
        <v>Inclusa</v>
      </c>
      <c r="S59" s="13">
        <f t="shared" si="12"/>
        <v>2.0999999999999996</v>
      </c>
      <c r="T59" s="13">
        <f t="shared" si="13"/>
        <v>2.0999999999999996</v>
      </c>
      <c r="U59" s="13">
        <f t="shared" si="14"/>
        <v>0.89999999999999991</v>
      </c>
      <c r="V59" s="13">
        <f t="shared" si="15"/>
        <v>0.89999999999999991</v>
      </c>
      <c r="W59" s="7" t="s">
        <v>21</v>
      </c>
    </row>
    <row r="63" spans="1:23" x14ac:dyDescent="0.4">
      <c r="M63" s="27"/>
    </row>
  </sheetData>
  <mergeCells count="2">
    <mergeCell ref="A2:H2"/>
    <mergeCell ref="A1:H1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8"/>
  <sheetViews>
    <sheetView showGridLines="0" topLeftCell="H7" zoomScale="147" workbookViewId="0">
      <selection activeCell="C9" sqref="C9"/>
    </sheetView>
  </sheetViews>
  <sheetFormatPr defaultColWidth="8.84375" defaultRowHeight="14.6" x14ac:dyDescent="0.4"/>
  <cols>
    <col min="1" max="1" width="28" customWidth="1"/>
    <col min="2" max="2" width="10" customWidth="1"/>
    <col min="3" max="3" width="18" customWidth="1"/>
    <col min="4" max="4" width="28" customWidth="1"/>
    <col min="5" max="5" width="20" customWidth="1"/>
    <col min="6" max="6" width="28" customWidth="1"/>
    <col min="7" max="7" width="18" customWidth="1"/>
    <col min="8" max="8" width="14" customWidth="1"/>
    <col min="9" max="9" width="16" customWidth="1"/>
    <col min="10" max="10" width="25" customWidth="1"/>
    <col min="11" max="11" width="70" customWidth="1"/>
    <col min="12" max="12" width="60" customWidth="1"/>
    <col min="13" max="13" width="18" customWidth="1"/>
    <col min="14" max="14" width="14" customWidth="1"/>
  </cols>
  <sheetData>
    <row r="1" spans="1:14" ht="24" customHeight="1" x14ac:dyDescent="0.4">
      <c r="A1" s="30" t="s">
        <v>328</v>
      </c>
      <c r="B1" s="29"/>
      <c r="C1" s="29"/>
      <c r="D1" s="29"/>
      <c r="E1" s="29"/>
      <c r="F1" s="29"/>
      <c r="G1" s="29"/>
      <c r="H1" s="29"/>
      <c r="I1" s="1"/>
      <c r="J1" s="1"/>
      <c r="K1" s="1"/>
      <c r="L1" s="1"/>
      <c r="M1" s="1"/>
      <c r="N1" s="1"/>
    </row>
    <row r="2" spans="1:14" x14ac:dyDescent="0.4">
      <c r="A2" s="28" t="s">
        <v>329</v>
      </c>
      <c r="B2" s="29"/>
      <c r="C2" s="29"/>
      <c r="D2" s="29"/>
      <c r="E2" s="29"/>
      <c r="F2" s="29"/>
      <c r="G2" s="29"/>
      <c r="H2" s="29"/>
      <c r="I2" s="1"/>
      <c r="J2" s="1"/>
      <c r="K2" s="1"/>
      <c r="L2" s="1"/>
      <c r="M2" s="1"/>
      <c r="N2" s="1"/>
    </row>
    <row r="3" spans="1:14" x14ac:dyDescent="0.4">
      <c r="A3" s="2" t="s">
        <v>330</v>
      </c>
      <c r="B3" s="15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4">
      <c r="A4" s="2" t="s">
        <v>331</v>
      </c>
      <c r="B4" s="16" t="s">
        <v>158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4">
      <c r="A5" s="2" t="s">
        <v>332</v>
      </c>
      <c r="B5" s="15">
        <v>2.5</v>
      </c>
      <c r="C5" s="40" t="s">
        <v>413</v>
      </c>
      <c r="D5" s="1" t="s">
        <v>414</v>
      </c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38.6" x14ac:dyDescent="0.4">
      <c r="A6" s="2" t="s">
        <v>333</v>
      </c>
      <c r="B6" s="15" t="s">
        <v>334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25.75" x14ac:dyDescent="0.4">
      <c r="A8" s="4" t="s">
        <v>163</v>
      </c>
      <c r="B8" s="4" t="s">
        <v>335</v>
      </c>
      <c r="C8" s="4" t="s">
        <v>336</v>
      </c>
      <c r="D8" s="4" t="s">
        <v>337</v>
      </c>
      <c r="E8" s="4" t="s">
        <v>338</v>
      </c>
      <c r="F8" s="4" t="s">
        <v>339</v>
      </c>
      <c r="G8" s="4" t="s">
        <v>340</v>
      </c>
      <c r="H8" s="4" t="s">
        <v>341</v>
      </c>
      <c r="I8" s="4" t="s">
        <v>342</v>
      </c>
      <c r="J8" s="41" t="s">
        <v>343</v>
      </c>
      <c r="K8" s="4" t="s">
        <v>344</v>
      </c>
      <c r="L8" s="4" t="s">
        <v>345</v>
      </c>
      <c r="M8" s="4" t="s">
        <v>346</v>
      </c>
      <c r="N8" s="4" t="s">
        <v>347</v>
      </c>
    </row>
    <row r="9" spans="1:14" ht="25.75" x14ac:dyDescent="0.4">
      <c r="A9" s="17" t="s">
        <v>168</v>
      </c>
      <c r="B9" s="17" t="s">
        <v>304</v>
      </c>
      <c r="C9" s="13">
        <f>IFERROR((SUMIF('Mappatura A-B-C'!$I$5:$I$59,A9,'Mappatura A-B-C'!$S$5:$S$59)+SUMIF('Mappatura A-B-C'!$K$5:$K$59,A9,'Mappatura A-B-C'!$U$5:$U$59))/(SUMIF('Mappatura A-B-C'!$I$5:$I$59,A9,'Mappatura A-B-C'!$T$5:$T$59)+SUMIF('Mappatura A-B-C'!$K$5:$K$59,A9,'Mappatura A-B-C'!$V$5:$V$59)),"")</f>
        <v>1.860215053763441</v>
      </c>
      <c r="D9" s="7" t="str">
        <f t="shared" ref="D9:D18" si="0">IF(C9="","",IF(C9&lt;=1.5,"1 - Deriva - Discontinuo",IF(C9&lt;=2.5,"2 - Rotta - Strutturato",IF(C9&lt;=3.5,"3 - Orbita - Integrato","4 - Gravità - Sistemico / Consistente"))))</f>
        <v>2 - Rotta - Strutturato</v>
      </c>
      <c r="E9" s="13">
        <f>SUMIF('Input esterno GIorgia-per axY '!$F$9:$F$38,$B$4&amp;"|"&amp;A9,'Input esterno GIorgia-per axY '!$D$9:$D$38)</f>
        <v>4</v>
      </c>
      <c r="F9" s="7" t="str">
        <f t="shared" ref="F9:F18" si="1">IF(E9="","",IF(E9&lt;=1.5,"1 - Deriva - Discontinuo",IF(E9&lt;=2.5,"2 - Rotta - Strutturato",IF(E9&lt;=3.5,"3 - Orbita - Integrato","4 - Gravità - Sistemico / Consistente"))))</f>
        <v>4 - Gravità - Sistemico / Consistente</v>
      </c>
      <c r="G9" s="13">
        <f t="shared" ref="G9:G18" si="2">IF(OR(C9="",E9=""),"",E9-C9)</f>
        <v>2.139784946236559</v>
      </c>
      <c r="H9" s="7" t="str">
        <f t="shared" ref="H9:H18" si="3">IF(C9="","",IF(C9&gt;$B$5,"Alta","Bassa"))</f>
        <v>Bassa</v>
      </c>
      <c r="I9" s="7" t="str">
        <f t="shared" ref="I9:I18" si="4">IF(E9="","",IF(E9&gt;$B$5,"Alta","Bassa"))</f>
        <v>Alta</v>
      </c>
      <c r="J9" s="36" t="str">
        <f t="shared" ref="J9:J18" si="5">IF(AND(H9="Alta",I9="Alta"),"Allineamento virtuoso",IF(AND(H9="Alta",I9="Bassa"),"Potenziale nascosto",IF(AND(H9="Bassa",I9="Alta"),"Sovraesposizione","Area fragile")))</f>
        <v>Sovraesposizione</v>
      </c>
      <c r="K9" s="7" t="str">
        <f t="shared" ref="K9:K18" si="6">IF(J9="Allineamento virtuoso","Area di coerenza: pratiche DEIA mature e disclosure strutturata risultano allineate.",IF(J9="Potenziale nascosto","Area di sottorendicontazione: pratiche più mature della disclosure esterna.",IF(J9="Sovraesposizione","Area di disallineamento comunicativo: la disclosure appare più avanzata della maturità praticata.","Area prioritaria di sviluppo: pratiche e disclosure risultano entrambe deboli.")))</f>
        <v>Area di disallineamento comunicativo: la disclosure appare più avanzata della maturità praticata.</v>
      </c>
      <c r="L9" s="7" t="str">
        <f t="shared" ref="L9:L18" si="7">IF(J9="Area fragile","Alta - rafforzare congiuntamente pratiche e disclosure",IF(J9="Sovraesposizione","Alta - validare evidenze interne e rafforzare pratiche/policy",IF(J9="Potenziale nascosto","Media-Alta - migliorare qualità, granularità e completezza della disclosure","Bassa - consolidare e usare come benchmark interno")))</f>
        <v>Alta - validare evidenze interne e rafforzare pratiche/policy</v>
      </c>
      <c r="M9" s="13">
        <f>(SUMIF('Mappatura A-B-C'!$I$5:$I$59,A9,'Mappatura A-B-C'!$T$5:$T$59)+SUMIF('Mappatura A-B-C'!$K$5:$K$59,A9,'Mappatura A-B-C'!$V$5:$V$59))</f>
        <v>13.95</v>
      </c>
      <c r="N9" s="7" t="str">
        <f t="shared" ref="N9:N18" si="8">IF(AND(C9&gt;=1,C9&lt;=4,E9&gt;=1,E9&lt;=4),"OK","ERRORE")</f>
        <v>OK</v>
      </c>
    </row>
    <row r="10" spans="1:14" x14ac:dyDescent="0.4">
      <c r="A10" s="17" t="s">
        <v>170</v>
      </c>
      <c r="B10" s="17" t="s">
        <v>170</v>
      </c>
      <c r="C10" s="13">
        <f>IFERROR((SUMIF('Mappatura A-B-C'!$I$5:$I$59,A10,'Mappatura A-B-C'!$S$5:$S$59)+SUMIF('Mappatura A-B-C'!$K$5:$K$59,A10,'Mappatura A-B-C'!$U$5:$U$59))/(SUMIF('Mappatura A-B-C'!$I$5:$I$59,A10,'Mappatura A-B-C'!$T$5:$T$59)+SUMIF('Mappatura A-B-C'!$K$5:$K$59,A10,'Mappatura A-B-C'!$V$5:$V$59)),"")</f>
        <v>2.5585106382978724</v>
      </c>
      <c r="D10" s="7" t="str">
        <f t="shared" si="0"/>
        <v>3 - Orbita - Integrato</v>
      </c>
      <c r="E10" s="13">
        <f>SUMIF('Input esterno GIorgia-per axY '!$F$9:$F$38,$B$4&amp;"|"&amp;A10,'Input esterno GIorgia-per axY '!$D$9:$D$38)</f>
        <v>3</v>
      </c>
      <c r="F10" s="7" t="str">
        <f t="shared" si="1"/>
        <v>3 - Orbita - Integrato</v>
      </c>
      <c r="G10" s="13">
        <f t="shared" si="2"/>
        <v>0.4414893617021276</v>
      </c>
      <c r="H10" s="7" t="str">
        <f t="shared" si="3"/>
        <v>Alta</v>
      </c>
      <c r="I10" s="7" t="str">
        <f t="shared" si="4"/>
        <v>Alta</v>
      </c>
      <c r="J10" s="36" t="str">
        <f t="shared" si="5"/>
        <v>Allineamento virtuoso</v>
      </c>
      <c r="K10" s="7" t="str">
        <f t="shared" si="6"/>
        <v>Area di coerenza: pratiche DEIA mature e disclosure strutturata risultano allineate.</v>
      </c>
      <c r="L10" s="7" t="str">
        <f t="shared" si="7"/>
        <v>Bassa - consolidare e usare come benchmark interno</v>
      </c>
      <c r="M10" s="13">
        <f>(SUMIF('Mappatura A-B-C'!$I$5:$I$59,A10,'Mappatura A-B-C'!$T$5:$T$59)+SUMIF('Mappatura A-B-C'!$K$5:$K$59,A10,'Mappatura A-B-C'!$V$5:$V$59))</f>
        <v>9.4</v>
      </c>
      <c r="N10" s="7" t="str">
        <f t="shared" si="8"/>
        <v>OK</v>
      </c>
    </row>
    <row r="11" spans="1:14" ht="25.75" x14ac:dyDescent="0.4">
      <c r="A11" s="17" t="s">
        <v>172</v>
      </c>
      <c r="B11" s="17" t="s">
        <v>290</v>
      </c>
      <c r="C11" s="13">
        <f>IFERROR((SUMIF('Mappatura A-B-C'!$I$5:$I$59,A11,'Mappatura A-B-C'!$S$5:$S$59)+SUMIF('Mappatura A-B-C'!$K$5:$K$59,A11,'Mappatura A-B-C'!$U$5:$U$59))/(SUMIF('Mappatura A-B-C'!$I$5:$I$59,A11,'Mappatura A-B-C'!$T$5:$T$59)+SUMIF('Mappatura A-B-C'!$K$5:$K$59,A11,'Mappatura A-B-C'!$V$5:$V$59)),"")</f>
        <v>2.0454545454545454</v>
      </c>
      <c r="D11" s="7" t="str">
        <f t="shared" si="0"/>
        <v>2 - Rotta - Strutturato</v>
      </c>
      <c r="E11" s="13">
        <f>SUMIF('Input esterno GIorgia-per axY '!$F$9:$F$38,$B$4&amp;"|"&amp;A11,'Input esterno GIorgia-per axY '!$D$9:$D$38)</f>
        <v>3</v>
      </c>
      <c r="F11" s="7" t="str">
        <f t="shared" si="1"/>
        <v>3 - Orbita - Integrato</v>
      </c>
      <c r="G11" s="13">
        <f t="shared" si="2"/>
        <v>0.95454545454545459</v>
      </c>
      <c r="H11" s="7" t="str">
        <f t="shared" si="3"/>
        <v>Bassa</v>
      </c>
      <c r="I11" s="7" t="str">
        <f t="shared" si="4"/>
        <v>Alta</v>
      </c>
      <c r="J11" s="36" t="str">
        <f t="shared" si="5"/>
        <v>Sovraesposizione</v>
      </c>
      <c r="K11" s="7" t="str">
        <f t="shared" si="6"/>
        <v>Area di disallineamento comunicativo: la disclosure appare più avanzata della maturità praticata.</v>
      </c>
      <c r="L11" s="7" t="str">
        <f t="shared" si="7"/>
        <v>Alta - validare evidenze interne e rafforzare pratiche/policy</v>
      </c>
      <c r="M11" s="13">
        <f>(SUMIF('Mappatura A-B-C'!$I$5:$I$59,A11,'Mappatura A-B-C'!$T$5:$T$59)+SUMIF('Mappatura A-B-C'!$K$5:$K$59,A11,'Mappatura A-B-C'!$V$5:$V$59))</f>
        <v>18.7</v>
      </c>
      <c r="N11" s="7" t="str">
        <f t="shared" si="8"/>
        <v>OK</v>
      </c>
    </row>
    <row r="12" spans="1:14" ht="25.75" x14ac:dyDescent="0.4">
      <c r="A12" s="17" t="s">
        <v>174</v>
      </c>
      <c r="B12" s="17" t="s">
        <v>280</v>
      </c>
      <c r="C12" s="13">
        <f>IFERROR((SUMIF('Mappatura A-B-C'!$I$5:$I$59,A12,'Mappatura A-B-C'!$S$5:$S$59)+SUMIF('Mappatura A-B-C'!$K$5:$K$59,A12,'Mappatura A-B-C'!$U$5:$U$59))/(SUMIF('Mappatura A-B-C'!$I$5:$I$59,A12,'Mappatura A-B-C'!$T$5:$T$59)+SUMIF('Mappatura A-B-C'!$K$5:$K$59,A12,'Mappatura A-B-C'!$V$5:$V$59)),"")</f>
        <v>2.0178571428571437</v>
      </c>
      <c r="D12" s="7" t="str">
        <f t="shared" si="0"/>
        <v>2 - Rotta - Strutturato</v>
      </c>
      <c r="E12" s="13">
        <f>SUMIF('Input esterno GIorgia-per axY '!$F$9:$F$38,$B$4&amp;"|"&amp;A12,'Input esterno GIorgia-per axY '!$D$9:$D$38)</f>
        <v>3</v>
      </c>
      <c r="F12" s="7" t="str">
        <f t="shared" si="1"/>
        <v>3 - Orbita - Integrato</v>
      </c>
      <c r="G12" s="13">
        <f t="shared" si="2"/>
        <v>0.98214285714285632</v>
      </c>
      <c r="H12" s="7" t="str">
        <f t="shared" si="3"/>
        <v>Bassa</v>
      </c>
      <c r="I12" s="7" t="str">
        <f t="shared" si="4"/>
        <v>Alta</v>
      </c>
      <c r="J12" s="36" t="str">
        <f t="shared" si="5"/>
        <v>Sovraesposizione</v>
      </c>
      <c r="K12" s="7" t="str">
        <f t="shared" si="6"/>
        <v>Area di disallineamento comunicativo: la disclosure appare più avanzata della maturità praticata.</v>
      </c>
      <c r="L12" s="7" t="str">
        <f t="shared" si="7"/>
        <v>Alta - validare evidenze interne e rafforzare pratiche/policy</v>
      </c>
      <c r="M12" s="13">
        <f>(SUMIF('Mappatura A-B-C'!$I$5:$I$59,A12,'Mappatura A-B-C'!$T$5:$T$59)+SUMIF('Mappatura A-B-C'!$K$5:$K$59,A12,'Mappatura A-B-C'!$V$5:$V$59))</f>
        <v>8.3999999999999986</v>
      </c>
      <c r="N12" s="7" t="str">
        <f t="shared" si="8"/>
        <v>OK</v>
      </c>
    </row>
    <row r="13" spans="1:14" ht="25.75" x14ac:dyDescent="0.4">
      <c r="A13" s="17" t="s">
        <v>176</v>
      </c>
      <c r="B13" s="17" t="s">
        <v>288</v>
      </c>
      <c r="C13" s="13">
        <f>IFERROR((SUMIF('Mappatura A-B-C'!$I$5:$I$59,A13,'Mappatura A-B-C'!$S$5:$S$59)+SUMIF('Mappatura A-B-C'!$K$5:$K$59,A13,'Mappatura A-B-C'!$U$5:$U$59))/(SUMIF('Mappatura A-B-C'!$I$5:$I$59,A13,'Mappatura A-B-C'!$T$5:$T$59)+SUMIF('Mappatura A-B-C'!$K$5:$K$59,A13,'Mappatura A-B-C'!$V$5:$V$59)),"")</f>
        <v>1.812206572769953</v>
      </c>
      <c r="D13" s="7" t="str">
        <f t="shared" si="0"/>
        <v>2 - Rotta - Strutturato</v>
      </c>
      <c r="E13" s="13">
        <f>SUMIF('Input esterno GIorgia-per axY '!$F$9:$F$38,$B$4&amp;"|"&amp;A13,'Input esterno GIorgia-per axY '!$D$9:$D$38)</f>
        <v>3</v>
      </c>
      <c r="F13" s="7" t="str">
        <f t="shared" si="1"/>
        <v>3 - Orbita - Integrato</v>
      </c>
      <c r="G13" s="13">
        <f t="shared" si="2"/>
        <v>1.187793427230047</v>
      </c>
      <c r="H13" s="7" t="str">
        <f t="shared" si="3"/>
        <v>Bassa</v>
      </c>
      <c r="I13" s="7" t="str">
        <f t="shared" si="4"/>
        <v>Alta</v>
      </c>
      <c r="J13" s="36" t="str">
        <f t="shared" si="5"/>
        <v>Sovraesposizione</v>
      </c>
      <c r="K13" s="7" t="str">
        <f t="shared" si="6"/>
        <v>Area di disallineamento comunicativo: la disclosure appare più avanzata della maturità praticata.</v>
      </c>
      <c r="L13" s="7" t="str">
        <f t="shared" si="7"/>
        <v>Alta - validare evidenze interne e rafforzare pratiche/policy</v>
      </c>
      <c r="M13" s="13">
        <f>(SUMIF('Mappatura A-B-C'!$I$5:$I$59,A13,'Mappatura A-B-C'!$T$5:$T$59)+SUMIF('Mappatura A-B-C'!$K$5:$K$59,A13,'Mappatura A-B-C'!$V$5:$V$59))</f>
        <v>10.649999999999999</v>
      </c>
      <c r="N13" s="7" t="str">
        <f t="shared" si="8"/>
        <v>OK</v>
      </c>
    </row>
    <row r="14" spans="1:14" ht="25.75" x14ac:dyDescent="0.4">
      <c r="A14" s="17" t="s">
        <v>178</v>
      </c>
      <c r="B14" s="17" t="s">
        <v>282</v>
      </c>
      <c r="C14" s="13">
        <f>IFERROR((SUMIF('Mappatura A-B-C'!$I$5:$I$59,A14,'Mappatura A-B-C'!$S$5:$S$59)+SUMIF('Mappatura A-B-C'!$K$5:$K$59,A14,'Mappatura A-B-C'!$U$5:$U$59))/(SUMIF('Mappatura A-B-C'!$I$5:$I$59,A14,'Mappatura A-B-C'!$T$5:$T$59)+SUMIF('Mappatura A-B-C'!$K$5:$K$59,A14,'Mappatura A-B-C'!$V$5:$V$59)),"")</f>
        <v>1.6865671641791047</v>
      </c>
      <c r="D14" s="7" t="str">
        <f t="shared" si="0"/>
        <v>2 - Rotta - Strutturato</v>
      </c>
      <c r="E14" s="13">
        <f>SUMIF('Input esterno GIorgia-per axY '!$F$9:$F$38,$B$4&amp;"|"&amp;A14,'Input esterno GIorgia-per axY '!$D$9:$D$38)</f>
        <v>4</v>
      </c>
      <c r="F14" s="7" t="str">
        <f t="shared" si="1"/>
        <v>4 - Gravità - Sistemico / Consistente</v>
      </c>
      <c r="G14" s="13">
        <f t="shared" si="2"/>
        <v>2.3134328358208953</v>
      </c>
      <c r="H14" s="7" t="str">
        <f t="shared" si="3"/>
        <v>Bassa</v>
      </c>
      <c r="I14" s="7" t="str">
        <f t="shared" si="4"/>
        <v>Alta</v>
      </c>
      <c r="J14" s="36" t="str">
        <f t="shared" si="5"/>
        <v>Sovraesposizione</v>
      </c>
      <c r="K14" s="7" t="str">
        <f t="shared" si="6"/>
        <v>Area di disallineamento comunicativo: la disclosure appare più avanzata della maturità praticata.</v>
      </c>
      <c r="L14" s="7" t="str">
        <f t="shared" si="7"/>
        <v>Alta - validare evidenze interne e rafforzare pratiche/policy</v>
      </c>
      <c r="M14" s="13">
        <f>(SUMIF('Mappatura A-B-C'!$I$5:$I$59,A14,'Mappatura A-B-C'!$T$5:$T$59)+SUMIF('Mappatura A-B-C'!$K$5:$K$59,A14,'Mappatura A-B-C'!$V$5:$V$59))</f>
        <v>6.6999999999999993</v>
      </c>
      <c r="N14" s="7" t="str">
        <f t="shared" si="8"/>
        <v>OK</v>
      </c>
    </row>
    <row r="15" spans="1:14" ht="25.75" x14ac:dyDescent="0.4">
      <c r="A15" s="17" t="s">
        <v>180</v>
      </c>
      <c r="B15" s="17" t="s">
        <v>299</v>
      </c>
      <c r="C15" s="13">
        <f>IFERROR((SUMIF('Mappatura A-B-C'!$I$5:$I$59,A15,'Mappatura A-B-C'!$S$5:$S$59)+SUMIF('Mappatura A-B-C'!$K$5:$K$59,A15,'Mappatura A-B-C'!$U$5:$U$59))/(SUMIF('Mappatura A-B-C'!$I$5:$I$59,A15,'Mappatura A-B-C'!$T$5:$T$59)+SUMIF('Mappatura A-B-C'!$K$5:$K$59,A15,'Mappatura A-B-C'!$V$5:$V$59)),"")</f>
        <v>1.7565217391304351</v>
      </c>
      <c r="D15" s="7" t="str">
        <f t="shared" si="0"/>
        <v>2 - Rotta - Strutturato</v>
      </c>
      <c r="E15" s="13">
        <f>SUMIF('Input esterno GIorgia-per axY '!$F$9:$F$38,$B$4&amp;"|"&amp;A15,'Input esterno GIorgia-per axY '!$D$9:$D$38)</f>
        <v>3</v>
      </c>
      <c r="F15" s="7" t="str">
        <f t="shared" si="1"/>
        <v>3 - Orbita - Integrato</v>
      </c>
      <c r="G15" s="13">
        <f t="shared" si="2"/>
        <v>1.2434782608695649</v>
      </c>
      <c r="H15" s="7" t="str">
        <f t="shared" si="3"/>
        <v>Bassa</v>
      </c>
      <c r="I15" s="7" t="str">
        <f t="shared" si="4"/>
        <v>Alta</v>
      </c>
      <c r="J15" s="36" t="str">
        <f t="shared" si="5"/>
        <v>Sovraesposizione</v>
      </c>
      <c r="K15" s="7" t="str">
        <f t="shared" si="6"/>
        <v>Area di disallineamento comunicativo: la disclosure appare più avanzata della maturità praticata.</v>
      </c>
      <c r="L15" s="7" t="str">
        <f t="shared" si="7"/>
        <v>Alta - validare evidenze interne e rafforzare pratiche/policy</v>
      </c>
      <c r="M15" s="13">
        <f>(SUMIF('Mappatura A-B-C'!$I$5:$I$59,A15,'Mappatura A-B-C'!$T$5:$T$59)+SUMIF('Mappatura A-B-C'!$K$5:$K$59,A15,'Mappatura A-B-C'!$V$5:$V$59))</f>
        <v>22.999999999999996</v>
      </c>
      <c r="N15" s="7" t="str">
        <f t="shared" si="8"/>
        <v>OK</v>
      </c>
    </row>
    <row r="16" spans="1:14" ht="25.75" x14ac:dyDescent="0.4">
      <c r="A16" s="17" t="s">
        <v>182</v>
      </c>
      <c r="B16" s="17" t="s">
        <v>324</v>
      </c>
      <c r="C16" s="13">
        <f>IFERROR((SUMIF('Mappatura A-B-C'!$I$5:$I$59,A16,'Mappatura A-B-C'!$S$5:$S$59)+SUMIF('Mappatura A-B-C'!$K$5:$K$59,A16,'Mappatura A-B-C'!$U$5:$U$59))/(SUMIF('Mappatura A-B-C'!$I$5:$I$59,A16,'Mappatura A-B-C'!$T$5:$T$59)+SUMIF('Mappatura A-B-C'!$K$5:$K$59,A16,'Mappatura A-B-C'!$V$5:$V$59)),"")</f>
        <v>2</v>
      </c>
      <c r="D16" s="7" t="str">
        <f t="shared" si="0"/>
        <v>2 - Rotta - Strutturato</v>
      </c>
      <c r="E16" s="13">
        <f>SUMIF('Input esterno GIorgia-per axY '!$F$9:$F$38,$B$4&amp;"|"&amp;A16,'Input esterno GIorgia-per axY '!$D$9:$D$38)</f>
        <v>3</v>
      </c>
      <c r="F16" s="7" t="str">
        <f t="shared" si="1"/>
        <v>3 - Orbita - Integrato</v>
      </c>
      <c r="G16" s="13">
        <f t="shared" si="2"/>
        <v>1</v>
      </c>
      <c r="H16" s="7" t="str">
        <f t="shared" si="3"/>
        <v>Bassa</v>
      </c>
      <c r="I16" s="7" t="str">
        <f t="shared" si="4"/>
        <v>Alta</v>
      </c>
      <c r="J16" s="36" t="str">
        <f t="shared" si="5"/>
        <v>Sovraesposizione</v>
      </c>
      <c r="K16" s="7" t="str">
        <f t="shared" si="6"/>
        <v>Area di disallineamento comunicativo: la disclosure appare più avanzata della maturità praticata.</v>
      </c>
      <c r="L16" s="7" t="str">
        <f t="shared" si="7"/>
        <v>Alta - validare evidenze interne e rafforzare pratiche/policy</v>
      </c>
      <c r="M16" s="13">
        <f>(SUMIF('Mappatura A-B-C'!$I$5:$I$59,A16,'Mappatura A-B-C'!$T$5:$T$59)+SUMIF('Mappatura A-B-C'!$K$5:$K$59,A16,'Mappatura A-B-C'!$V$5:$V$59))</f>
        <v>2</v>
      </c>
      <c r="N16" s="7" t="str">
        <f t="shared" si="8"/>
        <v>OK</v>
      </c>
    </row>
    <row r="17" spans="1:14" x14ac:dyDescent="0.4">
      <c r="A17" s="17" t="s">
        <v>185</v>
      </c>
      <c r="B17" s="17" t="s">
        <v>323</v>
      </c>
      <c r="C17" s="13">
        <f>IFERROR((SUMIF('Mappatura A-B-C'!$I$5:$I$59,A17,'Mappatura A-B-C'!$S$5:$S$59)+SUMIF('Mappatura A-B-C'!$K$5:$K$59,A17,'Mappatura A-B-C'!$U$5:$U$59))/(SUMIF('Mappatura A-B-C'!$I$5:$I$59,A17,'Mappatura A-B-C'!$T$5:$T$59)+SUMIF('Mappatura A-B-C'!$K$5:$K$59,A17,'Mappatura A-B-C'!$V$5:$V$59)),"")</f>
        <v>4</v>
      </c>
      <c r="D17" s="7" t="str">
        <f t="shared" si="0"/>
        <v>4 - Gravità - Sistemico / Consistente</v>
      </c>
      <c r="E17" s="13">
        <f>SUMIF('Input esterno GIorgia-per axY '!$F$9:$F$38,$B$4&amp;"|"&amp;A17,'Input esterno GIorgia-per axY '!$D$9:$D$38)</f>
        <v>3</v>
      </c>
      <c r="F17" s="7" t="str">
        <f t="shared" si="1"/>
        <v>3 - Orbita - Integrato</v>
      </c>
      <c r="G17" s="13">
        <f t="shared" si="2"/>
        <v>-1</v>
      </c>
      <c r="H17" s="7" t="str">
        <f t="shared" si="3"/>
        <v>Alta</v>
      </c>
      <c r="I17" s="7" t="str">
        <f t="shared" si="4"/>
        <v>Alta</v>
      </c>
      <c r="J17" s="36" t="str">
        <f t="shared" si="5"/>
        <v>Allineamento virtuoso</v>
      </c>
      <c r="K17" s="7" t="str">
        <f t="shared" si="6"/>
        <v>Area di coerenza: pratiche DEIA mature e disclosure strutturata risultano allineate.</v>
      </c>
      <c r="L17" s="7" t="str">
        <f t="shared" si="7"/>
        <v>Bassa - consolidare e usare come benchmark interno</v>
      </c>
      <c r="M17" s="13">
        <f>(SUMIF('Mappatura A-B-C'!$I$5:$I$59,A17,'Mappatura A-B-C'!$T$5:$T$59)+SUMIF('Mappatura A-B-C'!$K$5:$K$59,A17,'Mappatura A-B-C'!$V$5:$V$59))</f>
        <v>5</v>
      </c>
      <c r="N17" s="7" t="str">
        <f t="shared" si="8"/>
        <v>OK</v>
      </c>
    </row>
    <row r="18" spans="1:14" x14ac:dyDescent="0.4">
      <c r="A18" s="17" t="s">
        <v>187</v>
      </c>
      <c r="B18" s="17" t="s">
        <v>311</v>
      </c>
      <c r="C18" s="13">
        <f>IFERROR((SUMIF('Mappatura A-B-C'!$I$5:$I$59,A18,'Mappatura A-B-C'!$S$5:$S$59)+SUMIF('Mappatura A-B-C'!$K$5:$K$59,A18,'Mappatura A-B-C'!$U$5:$U$59))/(SUMIF('Mappatura A-B-C'!$I$5:$I$59,A18,'Mappatura A-B-C'!$T$5:$T$59)+SUMIF('Mappatura A-B-C'!$K$5:$K$59,A18,'Mappatura A-B-C'!$V$5:$V$59)),"")</f>
        <v>2.2488479262672811</v>
      </c>
      <c r="D18" s="7" t="str">
        <f t="shared" si="0"/>
        <v>2 - Rotta - Strutturato</v>
      </c>
      <c r="E18" s="13">
        <f>SUMIF('Input esterno GIorgia-per axY '!$F$9:$F$38,$B$4&amp;"|"&amp;A18,'Input esterno GIorgia-per axY '!$D$9:$D$38)</f>
        <v>2</v>
      </c>
      <c r="F18" s="7" t="str">
        <f t="shared" si="1"/>
        <v>2 - Rotta - Strutturato</v>
      </c>
      <c r="G18" s="13">
        <f t="shared" si="2"/>
        <v>-0.24884792626728114</v>
      </c>
      <c r="H18" s="7" t="str">
        <f t="shared" si="3"/>
        <v>Bassa</v>
      </c>
      <c r="I18" s="7" t="str">
        <f t="shared" si="4"/>
        <v>Bassa</v>
      </c>
      <c r="J18" s="36" t="str">
        <f t="shared" si="5"/>
        <v>Area fragile</v>
      </c>
      <c r="K18" s="7" t="str">
        <f t="shared" si="6"/>
        <v>Area prioritaria di sviluppo: pratiche e disclosure risultano entrambe deboli.</v>
      </c>
      <c r="L18" s="7" t="str">
        <f t="shared" si="7"/>
        <v>Alta - rafforzare congiuntamente pratiche e disclosure</v>
      </c>
      <c r="M18" s="13">
        <f>(SUMIF('Mappatura A-B-C'!$I$5:$I$59,A18,'Mappatura A-B-C'!$T$5:$T$59)+SUMIF('Mappatura A-B-C'!$K$5:$K$59,A18,'Mappatura A-B-C'!$V$5:$V$59))</f>
        <v>21.7</v>
      </c>
      <c r="N18" s="7" t="str">
        <f t="shared" si="8"/>
        <v>OK</v>
      </c>
    </row>
  </sheetData>
  <mergeCells count="2">
    <mergeCell ref="A2:H2"/>
    <mergeCell ref="A1:H1"/>
  </mergeCell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9"/>
  <sheetViews>
    <sheetView showGridLines="0" topLeftCell="A10" workbookViewId="0">
      <selection activeCell="B15" sqref="B15"/>
    </sheetView>
  </sheetViews>
  <sheetFormatPr defaultColWidth="8.84375" defaultRowHeight="14.6" x14ac:dyDescent="0.4"/>
  <cols>
    <col min="1" max="1" width="28" customWidth="1"/>
    <col min="2" max="3" width="50" customWidth="1"/>
    <col min="4" max="4" width="28" customWidth="1"/>
    <col min="5" max="5" width="60" customWidth="1"/>
  </cols>
  <sheetData>
    <row r="1" spans="1:14" ht="24" customHeight="1" x14ac:dyDescent="0.4">
      <c r="A1" s="30" t="s">
        <v>348</v>
      </c>
      <c r="B1" s="29"/>
      <c r="C1" s="29"/>
      <c r="D1" s="29"/>
      <c r="E1" s="29"/>
      <c r="F1" s="29"/>
      <c r="G1" s="29"/>
      <c r="H1" s="29"/>
      <c r="I1" s="1"/>
      <c r="J1" s="1"/>
      <c r="K1" s="1"/>
      <c r="L1" s="1"/>
      <c r="M1" s="1"/>
      <c r="N1" s="1"/>
    </row>
    <row r="2" spans="1:14" x14ac:dyDescent="0.4">
      <c r="A2" s="28" t="s">
        <v>349</v>
      </c>
      <c r="B2" s="29"/>
      <c r="C2" s="29"/>
      <c r="D2" s="29"/>
      <c r="E2" s="29"/>
      <c r="F2" s="29"/>
      <c r="G2" s="29"/>
      <c r="H2" s="29"/>
      <c r="I2" s="1"/>
      <c r="J2" s="1"/>
      <c r="K2" s="1"/>
      <c r="L2" s="1"/>
      <c r="M2" s="1"/>
      <c r="N2" s="1"/>
    </row>
    <row r="3" spans="1:14" x14ac:dyDescent="0.4">
      <c r="A3" s="2" t="s">
        <v>350</v>
      </c>
      <c r="B3" s="18" t="s">
        <v>351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4">
      <c r="A4" s="2" t="s">
        <v>352</v>
      </c>
      <c r="B4" s="18" t="s">
        <v>353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4">
      <c r="A5" s="2" t="s">
        <v>332</v>
      </c>
      <c r="B5" s="18">
        <f>'Calcoli matrice C'!$B$5</f>
        <v>2.5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4">
      <c r="A8" s="1"/>
      <c r="B8" s="19" t="s">
        <v>354</v>
      </c>
      <c r="C8" s="19" t="s">
        <v>355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120" customHeight="1" x14ac:dyDescent="0.4">
      <c r="A9" s="19" t="s">
        <v>356</v>
      </c>
      <c r="B9" s="20" t="s">
        <v>357</v>
      </c>
      <c r="C9" s="21" t="s">
        <v>358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80.05" customHeight="1" x14ac:dyDescent="0.4">
      <c r="A10" s="19" t="s">
        <v>359</v>
      </c>
      <c r="B10" s="22" t="s">
        <v>360</v>
      </c>
      <c r="C10" s="23" t="s">
        <v>361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4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4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5.75" x14ac:dyDescent="0.4">
      <c r="A15" s="4" t="s">
        <v>362</v>
      </c>
      <c r="B15" s="4" t="s">
        <v>363</v>
      </c>
      <c r="C15" s="4" t="s">
        <v>364</v>
      </c>
      <c r="D15" s="4" t="s">
        <v>365</v>
      </c>
      <c r="E15" s="4" t="s">
        <v>366</v>
      </c>
      <c r="F15" s="1"/>
      <c r="G15" s="1"/>
      <c r="H15" s="24" t="s">
        <v>367</v>
      </c>
      <c r="I15" s="24" t="s">
        <v>368</v>
      </c>
      <c r="J15" s="24" t="s">
        <v>369</v>
      </c>
      <c r="K15" s="1"/>
      <c r="L15" s="1"/>
      <c r="M15" s="1"/>
      <c r="N15" s="1"/>
    </row>
    <row r="16" spans="1:14" ht="25.75" x14ac:dyDescent="0.4">
      <c r="A16" s="7" t="str">
        <f>'Calcoli matrice C'!A9</f>
        <v>Foundation</v>
      </c>
      <c r="B16" s="42">
        <f>'Calcoli matrice C'!C9</f>
        <v>1.860215053763441</v>
      </c>
      <c r="C16" s="42">
        <f>'Calcoli matrice C'!E9</f>
        <v>4</v>
      </c>
      <c r="D16" s="7" t="str">
        <f>'Calcoli matrice C'!J9</f>
        <v>Sovraesposizione</v>
      </c>
      <c r="E16" s="7" t="str">
        <f>'Calcoli matrice C'!L9</f>
        <v>Alta - validare evidenze interne e rafforzare pratiche/policy</v>
      </c>
      <c r="F16" s="1"/>
      <c r="G16" s="1"/>
      <c r="H16" s="1" t="s">
        <v>168</v>
      </c>
      <c r="I16" s="25">
        <v>1.860215053763441</v>
      </c>
      <c r="J16" s="25">
        <v>4</v>
      </c>
      <c r="K16" s="1"/>
      <c r="L16" s="1"/>
      <c r="M16" s="1"/>
      <c r="N16" s="1"/>
    </row>
    <row r="17" spans="1:14" x14ac:dyDescent="0.4">
      <c r="A17" s="7" t="str">
        <f>'Calcoli matrice C'!A10</f>
        <v>HR</v>
      </c>
      <c r="B17" s="42">
        <f>'Calcoli matrice C'!C10</f>
        <v>2.5585106382978724</v>
      </c>
      <c r="C17" s="42">
        <f>'Calcoli matrice C'!E10</f>
        <v>3</v>
      </c>
      <c r="D17" s="7" t="str">
        <f>'Calcoli matrice C'!J10</f>
        <v>Allineamento virtuoso</v>
      </c>
      <c r="E17" s="7" t="str">
        <f>'Calcoli matrice C'!L10</f>
        <v>Bassa - consolidare e usare come benchmark interno</v>
      </c>
      <c r="F17" s="1"/>
      <c r="G17" s="1"/>
      <c r="H17" s="1" t="s">
        <v>170</v>
      </c>
      <c r="I17" s="25">
        <v>2.558510638297872</v>
      </c>
      <c r="J17" s="25">
        <v>3</v>
      </c>
      <c r="K17" s="1"/>
      <c r="L17" s="1"/>
      <c r="M17" s="1"/>
      <c r="N17" s="1"/>
    </row>
    <row r="18" spans="1:14" ht="25.75" x14ac:dyDescent="0.4">
      <c r="A18" s="7" t="str">
        <f>'Calcoli matrice C'!A11</f>
        <v>Employment</v>
      </c>
      <c r="B18" s="42">
        <f>'Calcoli matrice C'!C11</f>
        <v>2.0454545454545454</v>
      </c>
      <c r="C18" s="42">
        <f>'Calcoli matrice C'!E11</f>
        <v>3</v>
      </c>
      <c r="D18" s="7" t="str">
        <f>'Calcoli matrice C'!J11</f>
        <v>Sovraesposizione</v>
      </c>
      <c r="E18" s="7" t="str">
        <f>'Calcoli matrice C'!L11</f>
        <v>Alta - validare evidenze interne e rafforzare pratiche/policy</v>
      </c>
      <c r="F18" s="1"/>
      <c r="G18" s="1"/>
      <c r="H18" s="1" t="s">
        <v>172</v>
      </c>
      <c r="I18" s="25">
        <v>2.045454545454545</v>
      </c>
      <c r="J18" s="25">
        <v>3</v>
      </c>
      <c r="K18" s="1"/>
      <c r="L18" s="1"/>
      <c r="M18" s="1"/>
      <c r="N18" s="1"/>
    </row>
    <row r="19" spans="1:14" ht="38.6" x14ac:dyDescent="0.4">
      <c r="A19" s="7" t="str">
        <f>'Calcoli matrice C'!A12</f>
        <v>Employees Engagement</v>
      </c>
      <c r="B19" s="42">
        <f>'Calcoli matrice C'!C12</f>
        <v>2.0178571428571437</v>
      </c>
      <c r="C19" s="42">
        <f>'Calcoli matrice C'!E12</f>
        <v>3</v>
      </c>
      <c r="D19" s="7" t="str">
        <f>'Calcoli matrice C'!J12</f>
        <v>Sovraesposizione</v>
      </c>
      <c r="E19" s="7" t="str">
        <f>'Calcoli matrice C'!L12</f>
        <v>Alta - validare evidenze interne e rafforzare pratiche/policy</v>
      </c>
      <c r="F19" s="1"/>
      <c r="G19" s="1"/>
      <c r="H19" s="1" t="s">
        <v>174</v>
      </c>
      <c r="I19" s="25">
        <v>2.0178571428571428</v>
      </c>
      <c r="J19" s="25">
        <v>3</v>
      </c>
      <c r="K19" s="1"/>
      <c r="L19" s="1"/>
      <c r="M19" s="1"/>
      <c r="N19" s="1"/>
    </row>
    <row r="20" spans="1:14" ht="25.75" x14ac:dyDescent="0.4">
      <c r="A20" s="7" t="str">
        <f>'Calcoli matrice C'!A13</f>
        <v>Education &amp; Training</v>
      </c>
      <c r="B20" s="42">
        <f>'Calcoli matrice C'!C13</f>
        <v>1.812206572769953</v>
      </c>
      <c r="C20" s="42">
        <f>'Calcoli matrice C'!E13</f>
        <v>3</v>
      </c>
      <c r="D20" s="7" t="str">
        <f>'Calcoli matrice C'!J13</f>
        <v>Sovraesposizione</v>
      </c>
      <c r="E20" s="7" t="str">
        <f>'Calcoli matrice C'!L13</f>
        <v>Alta - validare evidenze interne e rafforzare pratiche/policy</v>
      </c>
      <c r="F20" s="1"/>
      <c r="G20" s="1"/>
      <c r="H20" s="1" t="s">
        <v>176</v>
      </c>
      <c r="I20" s="25">
        <v>1.812206572769953</v>
      </c>
      <c r="J20" s="25">
        <v>3</v>
      </c>
      <c r="K20" s="1"/>
      <c r="L20" s="1"/>
      <c r="M20" s="1"/>
      <c r="N20" s="1"/>
    </row>
    <row r="21" spans="1:14" ht="38.6" x14ac:dyDescent="0.4">
      <c r="A21" s="7" t="str">
        <f>'Calcoli matrice C'!A14</f>
        <v>Non-discrimination</v>
      </c>
      <c r="B21" s="42">
        <f>'Calcoli matrice C'!C14</f>
        <v>1.6865671641791047</v>
      </c>
      <c r="C21" s="42">
        <f>'Calcoli matrice C'!E14</f>
        <v>4</v>
      </c>
      <c r="D21" s="7" t="str">
        <f>'Calcoli matrice C'!J14</f>
        <v>Sovraesposizione</v>
      </c>
      <c r="E21" s="7" t="str">
        <f>'Calcoli matrice C'!L14</f>
        <v>Alta - validare evidenze interne e rafforzare pratiche/policy</v>
      </c>
      <c r="F21" s="1"/>
      <c r="G21" s="1"/>
      <c r="H21" s="1" t="s">
        <v>178</v>
      </c>
      <c r="I21" s="25">
        <v>1.6865671641791049</v>
      </c>
      <c r="J21" s="25">
        <v>4</v>
      </c>
      <c r="K21" s="1"/>
      <c r="L21" s="1"/>
      <c r="M21" s="1"/>
      <c r="N21" s="1"/>
    </row>
    <row r="22" spans="1:14" x14ac:dyDescent="0.4">
      <c r="A22" s="7" t="str">
        <f>'Calcoli matrice C'!A15</f>
        <v>Monitoring</v>
      </c>
      <c r="B22" s="42">
        <f>'Calcoli matrice C'!C15</f>
        <v>1.7565217391304351</v>
      </c>
      <c r="C22" s="42">
        <f>'Calcoli matrice C'!E15</f>
        <v>3</v>
      </c>
      <c r="D22" s="7" t="str">
        <f>'Calcoli matrice C'!J15</f>
        <v>Sovraesposizione</v>
      </c>
      <c r="E22" s="7" t="str">
        <f>'Calcoli matrice C'!L15</f>
        <v>Alta - validare evidenze interne e rafforzare pratiche/policy</v>
      </c>
      <c r="F22" s="1"/>
      <c r="G22" s="1"/>
      <c r="H22" s="1" t="s">
        <v>180</v>
      </c>
      <c r="I22" s="25">
        <v>1.7565217391304351</v>
      </c>
      <c r="J22" s="25">
        <v>3</v>
      </c>
      <c r="K22" s="1"/>
      <c r="L22" s="1"/>
      <c r="M22" s="1"/>
      <c r="N22" s="1"/>
    </row>
    <row r="23" spans="1:14" ht="38.6" x14ac:dyDescent="0.4">
      <c r="A23" s="7" t="str">
        <f>'Calcoli matrice C'!A16</f>
        <v>Supply Chain Diversity</v>
      </c>
      <c r="B23" s="42">
        <f>'Calcoli matrice C'!C16</f>
        <v>2</v>
      </c>
      <c r="C23" s="42">
        <f>'Calcoli matrice C'!E16</f>
        <v>3</v>
      </c>
      <c r="D23" s="7" t="str">
        <f>'Calcoli matrice C'!J16</f>
        <v>Sovraesposizione</v>
      </c>
      <c r="E23" s="7" t="str">
        <f>'Calcoli matrice C'!L16</f>
        <v>Alta - validare evidenze interne e rafforzare pratiche/policy</v>
      </c>
      <c r="F23" s="1"/>
      <c r="G23" s="1"/>
      <c r="H23" s="1" t="s">
        <v>182</v>
      </c>
      <c r="I23" s="25">
        <v>2</v>
      </c>
      <c r="J23" s="25">
        <v>3</v>
      </c>
      <c r="K23" s="1"/>
      <c r="L23" s="1"/>
      <c r="M23" s="1"/>
      <c r="N23" s="1"/>
    </row>
    <row r="24" spans="1:14" ht="25.75" x14ac:dyDescent="0.4">
      <c r="A24" s="7" t="str">
        <f>'Calcoli matrice C'!A17</f>
        <v>Communities</v>
      </c>
      <c r="B24" s="42">
        <f>'Calcoli matrice C'!C17</f>
        <v>4</v>
      </c>
      <c r="C24" s="42">
        <f>'Calcoli matrice C'!E17</f>
        <v>3</v>
      </c>
      <c r="D24" s="7" t="str">
        <f>'Calcoli matrice C'!J17</f>
        <v>Allineamento virtuoso</v>
      </c>
      <c r="E24" s="7" t="str">
        <f>'Calcoli matrice C'!L17</f>
        <v>Bassa - consolidare e usare come benchmark interno</v>
      </c>
      <c r="F24" s="1"/>
      <c r="G24" s="1"/>
      <c r="H24" s="1" t="s">
        <v>185</v>
      </c>
      <c r="I24" s="25">
        <v>4</v>
      </c>
      <c r="J24" s="25">
        <v>3</v>
      </c>
      <c r="K24" s="1"/>
      <c r="L24" s="1"/>
      <c r="M24" s="1"/>
      <c r="N24" s="1"/>
    </row>
    <row r="25" spans="1:14" x14ac:dyDescent="0.4">
      <c r="A25" s="7" t="str">
        <f>'Calcoli matrice C'!A18</f>
        <v>End-users</v>
      </c>
      <c r="B25" s="42">
        <f>'Calcoli matrice C'!C18</f>
        <v>2.2488479262672811</v>
      </c>
      <c r="C25" s="42">
        <f>'Calcoli matrice C'!E18</f>
        <v>2</v>
      </c>
      <c r="D25" s="7" t="str">
        <f>'Calcoli matrice C'!J18</f>
        <v>Area fragile</v>
      </c>
      <c r="E25" s="7" t="str">
        <f>'Calcoli matrice C'!L18</f>
        <v>Alta - rafforzare congiuntamente pratiche e disclosure</v>
      </c>
      <c r="F25" s="1"/>
      <c r="G25" s="1"/>
      <c r="H25" s="1" t="s">
        <v>187</v>
      </c>
      <c r="I25" s="25">
        <v>2.248847926267282</v>
      </c>
      <c r="J25" s="25">
        <v>2</v>
      </c>
      <c r="K25" s="1"/>
      <c r="L25" s="1"/>
      <c r="M25" s="1"/>
      <c r="N25" s="1"/>
    </row>
    <row r="26" spans="1:14" x14ac:dyDescent="0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x14ac:dyDescent="0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38.6" x14ac:dyDescent="0.4">
      <c r="A28" s="1"/>
      <c r="B28" s="1"/>
      <c r="C28" s="1"/>
      <c r="D28" s="1"/>
      <c r="E28" s="1"/>
      <c r="F28" s="1"/>
      <c r="G28" s="1"/>
      <c r="H28" s="1" t="s">
        <v>370</v>
      </c>
      <c r="I28" s="1">
        <v>2.5</v>
      </c>
      <c r="J28" s="1">
        <v>1</v>
      </c>
      <c r="K28" s="1"/>
      <c r="L28" s="1" t="s">
        <v>371</v>
      </c>
      <c r="M28" s="1">
        <v>1</v>
      </c>
      <c r="N28" s="1">
        <v>2.5</v>
      </c>
    </row>
    <row r="29" spans="1:14" ht="38.6" x14ac:dyDescent="0.4">
      <c r="A29" s="1"/>
      <c r="B29" s="1"/>
      <c r="C29" s="1"/>
      <c r="D29" s="1"/>
      <c r="E29" s="1"/>
      <c r="F29" s="1"/>
      <c r="G29" s="1"/>
      <c r="H29" s="1" t="s">
        <v>370</v>
      </c>
      <c r="I29" s="1">
        <v>2.5</v>
      </c>
      <c r="J29" s="1">
        <v>4</v>
      </c>
      <c r="K29" s="1"/>
      <c r="L29" s="1" t="s">
        <v>371</v>
      </c>
      <c r="M29" s="1">
        <v>4</v>
      </c>
      <c r="N29" s="1">
        <v>2.5</v>
      </c>
    </row>
  </sheetData>
  <mergeCells count="2">
    <mergeCell ref="A2:H2"/>
    <mergeCell ref="A1:H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32"/>
  <sheetViews>
    <sheetView showGridLines="0" workbookViewId="0">
      <selection sqref="A1:H1"/>
    </sheetView>
  </sheetViews>
  <sheetFormatPr defaultColWidth="8.84375" defaultRowHeight="14.6" x14ac:dyDescent="0.4"/>
  <cols>
    <col min="1" max="1" width="28" customWidth="1"/>
    <col min="2" max="2" width="100" customWidth="1"/>
  </cols>
  <sheetData>
    <row r="1" spans="1:8" ht="24" customHeight="1" x14ac:dyDescent="0.4">
      <c r="A1" s="34" t="s">
        <v>372</v>
      </c>
      <c r="B1" s="33"/>
      <c r="C1" s="33"/>
      <c r="D1" s="33"/>
      <c r="E1" s="33"/>
      <c r="F1" s="33"/>
      <c r="G1" s="33"/>
      <c r="H1" s="33"/>
    </row>
    <row r="2" spans="1:8" x14ac:dyDescent="0.4">
      <c r="A2" s="32" t="s">
        <v>373</v>
      </c>
      <c r="B2" s="33"/>
      <c r="C2" s="33"/>
      <c r="D2" s="33"/>
      <c r="E2" s="33"/>
      <c r="F2" s="33"/>
      <c r="G2" s="33"/>
      <c r="H2" s="33"/>
    </row>
    <row r="3" spans="1:8" x14ac:dyDescent="0.4">
      <c r="A3" s="17" t="s">
        <v>374</v>
      </c>
      <c r="B3" s="17" t="s">
        <v>375</v>
      </c>
      <c r="C3" s="1"/>
      <c r="D3" s="1"/>
      <c r="E3" s="1"/>
      <c r="F3" s="1"/>
      <c r="G3" s="1"/>
      <c r="H3" s="1"/>
    </row>
    <row r="4" spans="1:8" x14ac:dyDescent="0.4">
      <c r="A4" s="17" t="s">
        <v>376</v>
      </c>
      <c r="B4" s="17" t="s">
        <v>377</v>
      </c>
      <c r="C4" s="1"/>
      <c r="D4" s="1"/>
      <c r="E4" s="1"/>
      <c r="F4" s="1"/>
      <c r="G4" s="1"/>
      <c r="H4" s="1"/>
    </row>
    <row r="5" spans="1:8" x14ac:dyDescent="0.4">
      <c r="A5" s="17" t="s">
        <v>378</v>
      </c>
      <c r="B5" s="17" t="s">
        <v>379</v>
      </c>
      <c r="C5" s="1"/>
      <c r="D5" s="1"/>
      <c r="E5" s="1"/>
      <c r="F5" s="1"/>
      <c r="G5" s="1"/>
      <c r="H5" s="1"/>
    </row>
    <row r="6" spans="1:8" x14ac:dyDescent="0.4">
      <c r="A6" s="17" t="s">
        <v>380</v>
      </c>
      <c r="B6" s="17" t="s">
        <v>381</v>
      </c>
      <c r="C6" s="1"/>
      <c r="D6" s="1"/>
      <c r="E6" s="1"/>
      <c r="F6" s="1"/>
      <c r="G6" s="1"/>
      <c r="H6" s="1"/>
    </row>
    <row r="7" spans="1:8" x14ac:dyDescent="0.4">
      <c r="A7" s="17" t="s">
        <v>382</v>
      </c>
      <c r="B7" s="17" t="s">
        <v>383</v>
      </c>
      <c r="C7" s="1"/>
      <c r="D7" s="1"/>
      <c r="E7" s="1"/>
      <c r="F7" s="1"/>
      <c r="G7" s="1"/>
      <c r="H7" s="1"/>
    </row>
    <row r="8" spans="1:8" x14ac:dyDescent="0.4">
      <c r="A8" s="17" t="s">
        <v>384</v>
      </c>
      <c r="B8" s="17" t="s">
        <v>385</v>
      </c>
      <c r="C8" s="1"/>
      <c r="D8" s="1"/>
      <c r="E8" s="1"/>
      <c r="F8" s="1"/>
      <c r="G8" s="1"/>
      <c r="H8" s="1"/>
    </row>
    <row r="9" spans="1:8" x14ac:dyDescent="0.4">
      <c r="A9" s="17" t="s">
        <v>386</v>
      </c>
      <c r="B9" s="17" t="s">
        <v>387</v>
      </c>
      <c r="C9" s="1"/>
      <c r="D9" s="1"/>
      <c r="E9" s="1"/>
      <c r="F9" s="1"/>
      <c r="G9" s="1"/>
      <c r="H9" s="1"/>
    </row>
    <row r="10" spans="1:8" x14ac:dyDescent="0.4">
      <c r="A10" s="17" t="s">
        <v>388</v>
      </c>
      <c r="B10" s="8" t="s">
        <v>389</v>
      </c>
      <c r="C10" s="1"/>
      <c r="D10" s="1"/>
      <c r="E10" s="1"/>
      <c r="F10" s="1"/>
      <c r="G10" s="1"/>
      <c r="H10" s="1"/>
    </row>
    <row r="11" spans="1:8" x14ac:dyDescent="0.4">
      <c r="A11" s="17" t="s">
        <v>390</v>
      </c>
      <c r="B11" s="17" t="s">
        <v>391</v>
      </c>
      <c r="C11" s="1"/>
      <c r="D11" s="1"/>
      <c r="E11" s="1"/>
      <c r="F11" s="1"/>
      <c r="G11" s="1"/>
      <c r="H11" s="1"/>
    </row>
    <row r="12" spans="1:8" x14ac:dyDescent="0.4">
      <c r="A12" s="17" t="s">
        <v>392</v>
      </c>
      <c r="B12" s="17" t="s">
        <v>393</v>
      </c>
      <c r="C12" s="1"/>
      <c r="D12" s="1"/>
      <c r="E12" s="1"/>
      <c r="F12" s="1"/>
      <c r="G12" s="1"/>
      <c r="H12" s="1"/>
    </row>
    <row r="13" spans="1:8" x14ac:dyDescent="0.4">
      <c r="A13" s="17" t="s">
        <v>394</v>
      </c>
      <c r="B13" s="17" t="s">
        <v>395</v>
      </c>
      <c r="C13" s="1"/>
      <c r="D13" s="1"/>
      <c r="E13" s="1"/>
      <c r="F13" s="1"/>
      <c r="G13" s="1"/>
      <c r="H13" s="1"/>
    </row>
    <row r="14" spans="1:8" x14ac:dyDescent="0.4">
      <c r="A14" s="17" t="s">
        <v>396</v>
      </c>
      <c r="B14" s="17" t="s">
        <v>397</v>
      </c>
      <c r="C14" s="1"/>
      <c r="D14" s="1"/>
      <c r="E14" s="1"/>
      <c r="F14" s="1"/>
      <c r="G14" s="1"/>
      <c r="H14" s="1"/>
    </row>
    <row r="15" spans="1:8" ht="25.75" x14ac:dyDescent="0.4">
      <c r="A15" s="17" t="s">
        <v>221</v>
      </c>
      <c r="B15" s="17" t="s">
        <v>398</v>
      </c>
      <c r="C15" s="1"/>
      <c r="D15" s="1"/>
      <c r="E15" s="1"/>
      <c r="F15" s="1"/>
      <c r="G15" s="1"/>
      <c r="H15" s="1"/>
    </row>
    <row r="16" spans="1:8" x14ac:dyDescent="0.4">
      <c r="A16" s="17" t="s">
        <v>399</v>
      </c>
      <c r="B16" s="17" t="s">
        <v>400</v>
      </c>
      <c r="C16" s="1"/>
      <c r="D16" s="1"/>
      <c r="E16" s="1"/>
      <c r="F16" s="1"/>
      <c r="G16" s="1"/>
      <c r="H16" s="1"/>
    </row>
    <row r="17" spans="1:8" x14ac:dyDescent="0.4">
      <c r="A17" s="17" t="s">
        <v>401</v>
      </c>
      <c r="B17" s="17" t="s">
        <v>402</v>
      </c>
      <c r="C17" s="1"/>
      <c r="D17" s="1"/>
      <c r="E17" s="1"/>
      <c r="F17" s="1"/>
      <c r="G17" s="1"/>
      <c r="H17" s="1"/>
    </row>
    <row r="18" spans="1:8" ht="25.75" x14ac:dyDescent="0.4">
      <c r="A18" s="17" t="s">
        <v>403</v>
      </c>
      <c r="B18" s="8" t="s">
        <v>404</v>
      </c>
      <c r="C18" s="1"/>
      <c r="D18" s="1"/>
      <c r="E18" s="1"/>
      <c r="F18" s="1"/>
      <c r="G18" s="1"/>
      <c r="H18" s="1"/>
    </row>
    <row r="19" spans="1:8" x14ac:dyDescent="0.4">
      <c r="A19" s="17" t="s">
        <v>405</v>
      </c>
      <c r="B19" s="8" t="s">
        <v>406</v>
      </c>
      <c r="C19" s="1"/>
      <c r="D19" s="1"/>
      <c r="E19" s="1"/>
      <c r="F19" s="1"/>
      <c r="G19" s="1"/>
      <c r="H19" s="1"/>
    </row>
    <row r="20" spans="1:8" x14ac:dyDescent="0.4">
      <c r="A20" s="17" t="s">
        <v>407</v>
      </c>
      <c r="B20" s="8" t="s">
        <v>408</v>
      </c>
      <c r="C20" s="1"/>
      <c r="D20" s="1"/>
      <c r="E20" s="1"/>
      <c r="F20" s="1"/>
      <c r="G20" s="1"/>
      <c r="H20" s="1"/>
    </row>
    <row r="21" spans="1:8" x14ac:dyDescent="0.4">
      <c r="A21" s="1" t="s">
        <v>409</v>
      </c>
      <c r="B21" s="1" t="s">
        <v>410</v>
      </c>
      <c r="C21" s="1"/>
      <c r="D21" s="1"/>
      <c r="E21" s="1"/>
      <c r="F21" s="1"/>
      <c r="G21" s="1"/>
      <c r="H21" s="1"/>
    </row>
    <row r="22" spans="1:8" x14ac:dyDescent="0.4">
      <c r="A22" s="4" t="s">
        <v>411</v>
      </c>
      <c r="B22" s="4" t="s">
        <v>163</v>
      </c>
      <c r="C22" s="1"/>
      <c r="D22" s="1"/>
      <c r="E22" s="1"/>
      <c r="F22" s="1"/>
      <c r="G22" s="1"/>
      <c r="H22" s="1"/>
    </row>
    <row r="23" spans="1:8" x14ac:dyDescent="0.4">
      <c r="A23" s="26" t="s">
        <v>304</v>
      </c>
      <c r="B23" s="26" t="s">
        <v>168</v>
      </c>
      <c r="C23" s="1"/>
      <c r="D23" s="1"/>
      <c r="E23" s="1"/>
      <c r="F23" s="1"/>
      <c r="G23" s="1"/>
      <c r="H23" s="1"/>
    </row>
    <row r="24" spans="1:8" x14ac:dyDescent="0.4">
      <c r="A24" s="26" t="s">
        <v>170</v>
      </c>
      <c r="B24" s="26" t="s">
        <v>170</v>
      </c>
      <c r="C24" s="1"/>
      <c r="D24" s="1"/>
      <c r="E24" s="1"/>
      <c r="F24" s="1"/>
      <c r="G24" s="1"/>
      <c r="H24" s="1"/>
    </row>
    <row r="25" spans="1:8" x14ac:dyDescent="0.4">
      <c r="A25" s="26" t="s">
        <v>290</v>
      </c>
      <c r="B25" s="26" t="s">
        <v>172</v>
      </c>
      <c r="C25" s="1"/>
      <c r="D25" s="1"/>
      <c r="E25" s="1"/>
      <c r="F25" s="1"/>
      <c r="G25" s="1"/>
      <c r="H25" s="1"/>
    </row>
    <row r="26" spans="1:8" x14ac:dyDescent="0.4">
      <c r="A26" s="26" t="s">
        <v>280</v>
      </c>
      <c r="B26" s="26" t="s">
        <v>174</v>
      </c>
      <c r="C26" s="1"/>
      <c r="D26" s="1"/>
      <c r="E26" s="1"/>
      <c r="F26" s="1"/>
      <c r="G26" s="1"/>
      <c r="H26" s="1"/>
    </row>
    <row r="27" spans="1:8" x14ac:dyDescent="0.4">
      <c r="A27" s="26" t="s">
        <v>288</v>
      </c>
      <c r="B27" s="26" t="s">
        <v>176</v>
      </c>
      <c r="C27" s="1"/>
      <c r="D27" s="1"/>
      <c r="E27" s="1"/>
      <c r="F27" s="1"/>
      <c r="G27" s="1"/>
      <c r="H27" s="1"/>
    </row>
    <row r="28" spans="1:8" x14ac:dyDescent="0.4">
      <c r="A28" s="26" t="s">
        <v>282</v>
      </c>
      <c r="B28" s="26" t="s">
        <v>178</v>
      </c>
      <c r="C28" s="1"/>
      <c r="D28" s="1"/>
      <c r="E28" s="1"/>
      <c r="F28" s="1"/>
      <c r="G28" s="1"/>
      <c r="H28" s="1"/>
    </row>
    <row r="29" spans="1:8" x14ac:dyDescent="0.4">
      <c r="A29" s="26" t="s">
        <v>299</v>
      </c>
      <c r="B29" s="26" t="s">
        <v>180</v>
      </c>
      <c r="C29" s="1"/>
      <c r="D29" s="1"/>
      <c r="E29" s="1"/>
      <c r="F29" s="1"/>
      <c r="G29" s="1"/>
      <c r="H29" s="1"/>
    </row>
    <row r="30" spans="1:8" x14ac:dyDescent="0.4">
      <c r="A30" s="26" t="s">
        <v>324</v>
      </c>
      <c r="B30" s="26" t="s">
        <v>182</v>
      </c>
      <c r="C30" s="1"/>
      <c r="D30" s="1"/>
      <c r="E30" s="1"/>
      <c r="F30" s="1"/>
      <c r="G30" s="1"/>
      <c r="H30" s="1"/>
    </row>
    <row r="31" spans="1:8" x14ac:dyDescent="0.4">
      <c r="A31" s="26" t="s">
        <v>323</v>
      </c>
      <c r="B31" s="26" t="s">
        <v>185</v>
      </c>
      <c r="C31" s="1"/>
      <c r="D31" s="1"/>
      <c r="E31" s="1"/>
      <c r="F31" s="1"/>
      <c r="G31" s="1"/>
      <c r="H31" s="1"/>
    </row>
    <row r="32" spans="1:8" x14ac:dyDescent="0.4">
      <c r="A32" s="26" t="s">
        <v>311</v>
      </c>
      <c r="B32" s="26" t="s">
        <v>187</v>
      </c>
      <c r="C32" s="1"/>
      <c r="D32" s="1"/>
      <c r="E32" s="1"/>
      <c r="F32" s="1"/>
      <c r="G32" s="1"/>
      <c r="H32" s="1"/>
    </row>
  </sheetData>
  <mergeCells count="2">
    <mergeCell ref="A2:H2"/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Input survey A</vt:lpstr>
      <vt:lpstr>Input esterno GIorgia-per axY </vt:lpstr>
      <vt:lpstr>Mappatura A-B-C</vt:lpstr>
      <vt:lpstr>Calcoli matrice C</vt:lpstr>
      <vt:lpstr>Matrice trasparenza</vt:lpstr>
      <vt:lpstr>Note e assunzioni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Daniele Grotti - Docente</cp:lastModifiedBy>
  <dcterms:modified xsi:type="dcterms:W3CDTF">2026-08-07T13:52:56Z</dcterms:modified>
</cp:coreProperties>
</file>