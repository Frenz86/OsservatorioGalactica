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 e assunzioni" sheetId="1" state="visible" r:id="rId1"/>
    <sheet xmlns:r="http://schemas.openxmlformats.org/officeDocument/2006/relationships" name="Input survey A" sheetId="2" state="visible" r:id="rId2"/>
    <sheet xmlns:r="http://schemas.openxmlformats.org/officeDocument/2006/relationships" name="Input reporting B" sheetId="3" state="visible" r:id="rId3"/>
    <sheet xmlns:r="http://schemas.openxmlformats.org/officeDocument/2006/relationships" name="Mappatura A-B-C" sheetId="4" state="visible" r:id="rId4"/>
    <sheet xmlns:r="http://schemas.openxmlformats.org/officeDocument/2006/relationships" name="Calcoli matrice C" sheetId="5" state="visible" r:id="rId5"/>
    <sheet xmlns:r="http://schemas.openxmlformats.org/officeDocument/2006/relationships" name="Matrice trasparenza" sheetId="6" state="visible" r:id="rId6"/>
  </sheets>
  <definedNames>
    <definedName name="_xlnm._FilterDatabase" localSheetId="3" hidden="1">'Mappatura A-B-C'!$A$4:$V$59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Matrice di trasparenza DEIA</a:t>
            </a:r>
          </a:p>
        </rich>
      </tx>
    </title>
    <plotArea>
      <scatterChart>
        <ser>
          <idx val="0"/>
          <order val="0"/>
          <tx>
            <v>Temi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'Matrice trasparenza'!$I$16:$I$25</f>
            </numRef>
          </xVal>
          <yVal>
            <numRef>
              <f>'Matrice trasparenza'!$J$16:$J$25</f>
            </numRef>
          </yVal>
        </ser>
        <ser>
          <idx val="1"/>
          <order val="1"/>
          <tx>
            <v>soglia X</v>
          </tx>
          <spPr>
            <a:ln xmlns:a="http://schemas.openxmlformats.org/drawingml/2006/main" w="12700">
              <a:solidFill>
                <a:srgbClr val="BFBFB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'Matrice trasparenza'!$I$28:$I$29</f>
            </numRef>
          </xVal>
          <yVal>
            <numRef>
              <f>'Matrice trasparenza'!$J$28:$J$29</f>
            </numRef>
          </yVal>
        </ser>
        <ser>
          <idx val="2"/>
          <order val="2"/>
          <tx>
            <v>soglia Y</v>
          </tx>
          <spPr>
            <a:ln xmlns:a="http://schemas.openxmlformats.org/drawingml/2006/main" w="12700">
              <a:solidFill>
                <a:srgbClr val="BFBFB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'Matrice trasparenza'!$M$28:$M$29</f>
            </numRef>
          </xVal>
          <yVal>
            <numRef>
              <f>'Matrice trasparenza'!$N$28:$N$29</f>
            </numRef>
          </yVal>
        </ser>
        <axId val="10"/>
        <axId val="20"/>
      </scatterChart>
      <valAx>
        <axId val="10"/>
        <scaling>
          <orientation val="minMax"/>
          <max val="4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- maturita' praticata (survey)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4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- maturita' comunicata (reporting)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61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" t="inlineStr">
        <is>
          <t>Note e assunzioni</t>
        </is>
      </c>
    </row>
    <row r="2">
      <c r="A2" t="inlineStr">
        <is>
          <t>Parametri e regole della matrice. La tabella codice-&gt;tema in A23:B32 e' richiamata dalle formule del foglio Mappatura A-B-C.</t>
        </is>
      </c>
    </row>
    <row r="3">
      <c r="A3" s="2" t="inlineStr">
        <is>
          <t>Elemento</t>
        </is>
      </c>
      <c r="B3" s="2" t="inlineStr">
        <is>
          <t>Assunzione / nota</t>
        </is>
      </c>
    </row>
    <row r="4">
      <c r="A4" s="3" t="inlineStr">
        <is>
          <t>Fonte asse X (praticata)</t>
        </is>
      </c>
      <c r="B4" s="4" t="inlineStr">
        <is>
          <t>qualtrix_output.xlsx, foglio Sheet0, riga 3</t>
        </is>
      </c>
    </row>
    <row r="5">
      <c r="A5" s="3" t="inlineStr">
        <is>
          <t>Fonte asse Y (comunicata)</t>
        </is>
      </c>
      <c r="B5" s="4" t="inlineStr">
        <is>
          <t>elaborato_giorgia.xlsx, foglio matrice_y</t>
        </is>
      </c>
    </row>
    <row r="6">
      <c r="A6" s="3" t="inlineStr">
        <is>
          <t>Fonte metodologia</t>
        </is>
      </c>
      <c r="B6" s="4" t="inlineStr">
        <is>
          <t>deia_core.py (mappatura, pesi, soglie)</t>
        </is>
      </c>
    </row>
    <row r="7">
      <c r="A7" s="3" t="inlineStr">
        <is>
          <t>Caso survey</t>
        </is>
      </c>
      <c r="B7" s="4" t="inlineStr">
        <is>
          <t>4BILD S.p.A. - Da 10 a 49 dipendenti</t>
        </is>
      </c>
    </row>
    <row r="8">
      <c r="A8" s="3" t="inlineStr">
        <is>
          <t>Dimensione / peso usato</t>
        </is>
      </c>
      <c r="B8" s="4" t="inlineStr">
        <is>
          <t>PMI -&gt; colonna Peso PMI</t>
        </is>
      </c>
    </row>
    <row r="9">
      <c r="A9" s="3" t="inlineStr">
        <is>
          <t>Caso reporting</t>
        </is>
      </c>
      <c r="B9" s="4" t="inlineStr">
        <is>
          <t>4BILD S.p.A.</t>
        </is>
      </c>
    </row>
    <row r="10">
      <c r="A10" s="3" t="inlineStr">
        <is>
          <t>Regola MAT</t>
        </is>
      </c>
      <c r="B10" s="4" t="inlineStr">
        <is>
          <t>Le domande con Cod. standard = MAT sono escluse dalla matrice.</t>
        </is>
      </c>
    </row>
    <row r="11">
      <c r="A11" s="3" t="inlineStr">
        <is>
          <t>Regola allocazione</t>
        </is>
      </c>
      <c r="B11" s="4" t="inlineStr">
        <is>
          <t>Cod. 1 = 100% se Cod. 2 e' vuoto; Cod. 1 = 70% e Cod. 2 = 30% se Cod. 2 e' valorizzato.</t>
        </is>
      </c>
    </row>
    <row r="12">
      <c r="A12" s="3" t="inlineStr">
        <is>
          <t>Formula asse X</t>
        </is>
      </c>
      <c r="B12" s="4" t="inlineStr">
        <is>
          <t>Score = somma(risposta x peso x quota) / somma(peso x quota).</t>
        </is>
      </c>
    </row>
    <row r="13">
      <c r="A13" s="3" t="inlineStr">
        <is>
          <t>Formula asse Y</t>
        </is>
      </c>
      <c r="B13" s="4" t="inlineStr">
        <is>
          <t>Valore intero 1-4 di content analysis per tema, non mediato (SUMIF su chiave Azienda|Tema).</t>
        </is>
      </c>
    </row>
    <row r="14">
      <c r="A14" s="3" t="inlineStr">
        <is>
          <t>Soglia quadranti</t>
        </is>
      </c>
      <c r="B14" s="4" t="inlineStr">
        <is>
          <t>Bassa maturita' &lt;= 2.50; alta maturita' &gt; 2.50.</t>
        </is>
      </c>
    </row>
    <row r="15">
      <c r="A15" s="3" t="inlineStr">
        <is>
          <t>Scala livello</t>
        </is>
      </c>
      <c r="B15" s="4" t="inlineStr">
        <is>
          <t>1: 1-1,50; 2: 1,51-2,50; 3: 2,51-3,50; 4: &gt;3,50.</t>
        </is>
      </c>
    </row>
    <row r="16">
      <c r="A16" s="3" t="inlineStr">
        <is>
          <t>Esclusioni rilevate</t>
        </is>
      </c>
      <c r="B16" s="4" t="inlineStr">
        <is>
          <t>Vedi colonna 'Motivo esclusione / stato' in Mappatura A-B-C.</t>
        </is>
      </c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A22" s="2" t="inlineStr">
        <is>
          <t>Codice tema</t>
        </is>
      </c>
      <c r="B22" s="5" t="inlineStr">
        <is>
          <t>Tema reporting</t>
        </is>
      </c>
    </row>
    <row r="23">
      <c r="A23" t="inlineStr">
        <is>
          <t>F</t>
        </is>
      </c>
      <c r="B23" s="4" t="inlineStr">
        <is>
          <t>Foundation</t>
        </is>
      </c>
    </row>
    <row r="24">
      <c r="A24" t="inlineStr">
        <is>
          <t>HR</t>
        </is>
      </c>
      <c r="B24" s="4" t="inlineStr">
        <is>
          <t>HR</t>
        </is>
      </c>
    </row>
    <row r="25">
      <c r="A25" t="inlineStr">
        <is>
          <t>E</t>
        </is>
      </c>
      <c r="B25" s="4" t="inlineStr">
        <is>
          <t>Employment</t>
        </is>
      </c>
    </row>
    <row r="26">
      <c r="A26" t="inlineStr">
        <is>
          <t>EE</t>
        </is>
      </c>
      <c r="B26" s="4" t="inlineStr">
        <is>
          <t>Employees Engagement</t>
        </is>
      </c>
    </row>
    <row r="27">
      <c r="A27" t="inlineStr">
        <is>
          <t>ET</t>
        </is>
      </c>
      <c r="B27" s="4" t="inlineStr">
        <is>
          <t>Education &amp; Training</t>
        </is>
      </c>
    </row>
    <row r="28">
      <c r="A28" t="inlineStr">
        <is>
          <t>ND</t>
        </is>
      </c>
      <c r="B28" s="4" t="inlineStr">
        <is>
          <t>Non-discrimination</t>
        </is>
      </c>
    </row>
    <row r="29">
      <c r="A29" t="inlineStr">
        <is>
          <t>M</t>
        </is>
      </c>
      <c r="B29" s="4" t="inlineStr">
        <is>
          <t>Monitoring</t>
        </is>
      </c>
    </row>
    <row r="30">
      <c r="A30" t="inlineStr">
        <is>
          <t>SC</t>
        </is>
      </c>
      <c r="B30" s="4" t="inlineStr">
        <is>
          <t>Supply Chain Diversity</t>
        </is>
      </c>
    </row>
    <row r="31">
      <c r="A31" t="inlineStr">
        <is>
          <t>C</t>
        </is>
      </c>
      <c r="B31" s="4" t="inlineStr">
        <is>
          <t>Communities</t>
        </is>
      </c>
    </row>
    <row r="32">
      <c r="A32" t="inlineStr">
        <is>
          <t>EU</t>
        </is>
      </c>
      <c r="B32" s="4" t="inlineStr">
        <is>
          <t>End-users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95" customWidth="1" min="2" max="2"/>
    <col width="14" customWidth="1" min="3" max="3"/>
    <col width="14" customWidth="1" min="4" max="4"/>
    <col width="13" customWidth="1" min="5" max="5"/>
  </cols>
  <sheetData>
    <row r="1">
      <c r="A1" s="1" t="inlineStr">
        <is>
          <t>Input survey A - risposte Qualtrics (asse X)</t>
        </is>
      </c>
    </row>
    <row r="3">
      <c r="A3" s="3" t="inlineStr">
        <is>
          <t>File origine</t>
        </is>
      </c>
      <c r="B3" t="inlineStr">
        <is>
          <t>qualtrix_output.xlsx</t>
        </is>
      </c>
    </row>
    <row r="4">
      <c r="A4" s="3" t="inlineStr">
        <is>
          <t>Foglio origine</t>
        </is>
      </c>
      <c r="B4" t="inlineStr">
        <is>
          <t>Sheet0</t>
        </is>
      </c>
    </row>
    <row r="5">
      <c r="A5" s="3" t="inlineStr">
        <is>
          <t>Riga origine</t>
        </is>
      </c>
      <c r="B5" t="n">
        <v>3</v>
      </c>
    </row>
    <row r="6">
      <c r="A6" s="3" t="inlineStr">
        <is>
          <t>Ragione sociale</t>
        </is>
      </c>
      <c r="B6" t="inlineStr">
        <is>
          <t>4BILD S.p.A.</t>
        </is>
      </c>
    </row>
    <row r="7">
      <c r="A7" s="3" t="inlineStr">
        <is>
          <t>Tipo impresa</t>
        </is>
      </c>
      <c r="B7" t="inlineStr">
        <is>
          <t>PMI</t>
        </is>
      </c>
    </row>
    <row r="8">
      <c r="A8" s="3" t="inlineStr">
        <is>
          <t>Peso usato</t>
        </is>
      </c>
      <c r="B8" t="inlineStr">
        <is>
          <t>Peso PMI</t>
        </is>
      </c>
    </row>
    <row r="11" ht="30" customHeight="1">
      <c r="A11" s="6" t="inlineStr">
        <is>
          <t>Codice domanda</t>
        </is>
      </c>
      <c r="B11" s="6" t="inlineStr">
        <is>
          <t>Testo domanda</t>
        </is>
      </c>
      <c r="C11" s="6" t="inlineStr">
        <is>
          <t>Risposta survey</t>
        </is>
      </c>
      <c r="D11" s="6" t="inlineStr">
        <is>
          <t>Col. Qualtrics</t>
        </is>
      </c>
      <c r="E11" s="6" t="inlineStr">
        <is>
          <t>In mappatura</t>
        </is>
      </c>
    </row>
    <row r="12">
      <c r="A12" t="inlineStr">
        <is>
          <t>CQ1</t>
        </is>
      </c>
      <c r="B12" s="7" t="inlineStr">
        <is>
          <t>Le persone sono e si sentono libere di esprimere il proprio punto di vista e il proprio disaccordo?</t>
        </is>
      </c>
      <c r="C12" t="n">
        <v>3</v>
      </c>
      <c r="D12" t="inlineStr">
        <is>
          <t>P</t>
        </is>
      </c>
      <c r="E12" t="inlineStr">
        <is>
          <t>Sì</t>
        </is>
      </c>
    </row>
    <row r="13">
      <c r="A13" t="inlineStr">
        <is>
          <t>CQ2</t>
        </is>
      </c>
      <c r="B13" s="7" t="inlineStr">
        <is>
          <t>Esistono spazi e strumenti strutturati in cui le persone possano proporre miglioramenti?</t>
        </is>
      </c>
      <c r="C13" t="n">
        <v>1</v>
      </c>
      <c r="D13" t="inlineStr">
        <is>
          <t>Q</t>
        </is>
      </c>
      <c r="E13" t="inlineStr">
        <is>
          <t>Sì</t>
        </is>
      </c>
    </row>
    <row r="14">
      <c r="A14" t="inlineStr">
        <is>
          <t>CQ3</t>
        </is>
      </c>
      <c r="B14" s="7" t="inlineStr">
        <is>
          <t>Il linguaggio interno tiene in considerazione le diverse identità quali ad esempio il genere, i background culturali, il livello di istruzione?</t>
        </is>
      </c>
      <c r="C14" t="n">
        <v>3</v>
      </c>
      <c r="D14" t="inlineStr">
        <is>
          <t>R</t>
        </is>
      </c>
      <c r="E14" t="inlineStr">
        <is>
          <t>Sì</t>
        </is>
      </c>
    </row>
    <row r="15">
      <c r="A15" t="inlineStr">
        <is>
          <t>CQ4</t>
        </is>
      </c>
      <c r="B15" s="7" t="inlineStr">
        <is>
          <t>Esistono procedure e policy formalizzate per prevenire, contrastare e segnalare episodi di discriminazione, pregiudizio o microaggressioni?</t>
        </is>
      </c>
      <c r="C15" t="n">
        <v>2</v>
      </c>
      <c r="D15" t="inlineStr">
        <is>
          <t>S</t>
        </is>
      </c>
      <c r="E15" t="inlineStr">
        <is>
          <t>Sì</t>
        </is>
      </c>
    </row>
    <row r="16">
      <c r="A16" t="inlineStr">
        <is>
          <t>CQ5</t>
        </is>
      </c>
      <c r="B16" s="7" t="inlineStr">
        <is>
          <t>L’organizzazione prende in considerazione il tema della sicurezza psicologica?</t>
        </is>
      </c>
      <c r="C16" t="n">
        <v>4</v>
      </c>
      <c r="D16" t="inlineStr">
        <is>
          <t>T</t>
        </is>
      </c>
      <c r="E16" t="inlineStr">
        <is>
          <t>Sì</t>
        </is>
      </c>
    </row>
    <row r="17">
      <c r="A17" t="inlineStr">
        <is>
          <t>PQ1</t>
        </is>
      </c>
      <c r="B17" s="7" t="inlineStr">
        <is>
          <t>La comunicazione interna è accessibile?</t>
        </is>
      </c>
      <c r="C17" t="n">
        <v>2</v>
      </c>
      <c r="D17" t="inlineStr">
        <is>
          <t>U</t>
        </is>
      </c>
      <c r="E17" t="inlineStr">
        <is>
          <t>Sì</t>
        </is>
      </c>
    </row>
    <row r="18">
      <c r="A18" t="inlineStr">
        <is>
          <t>PQ2</t>
        </is>
      </c>
      <c r="B18" s="7" t="inlineStr">
        <is>
          <t>È presente un programma di inserimento (onboarding) per persone neo-assunte che promuove il valore dell'inclusione?</t>
        </is>
      </c>
      <c r="C18" t="n">
        <v>2</v>
      </c>
      <c r="D18" t="inlineStr">
        <is>
          <t>V</t>
        </is>
      </c>
      <c r="E18" t="inlineStr">
        <is>
          <t>Sì</t>
        </is>
      </c>
    </row>
    <row r="19">
      <c r="A19" t="inlineStr">
        <is>
          <t>PQ3</t>
        </is>
      </c>
      <c r="B19" s="7" t="inlineStr">
        <is>
          <t>Sono presenti misure di flessibilità e conciliazione vita-lavoro per supportare tutte le persone?</t>
        </is>
      </c>
      <c r="C19" t="n">
        <v>3</v>
      </c>
      <c r="D19" t="inlineStr">
        <is>
          <t>W</t>
        </is>
      </c>
      <c r="E19" t="inlineStr">
        <is>
          <t>Sì</t>
        </is>
      </c>
    </row>
    <row r="20">
      <c r="A20" t="inlineStr">
        <is>
          <t>PQ4</t>
        </is>
      </c>
      <c r="B20" s="7" t="inlineStr">
        <is>
          <t>L'organizzazione monitora l’accesso e l’utilizzo dei congedi parentali e familiari?</t>
        </is>
      </c>
      <c r="C20" t="n">
        <v>1</v>
      </c>
      <c r="D20" t="inlineStr">
        <is>
          <t>X</t>
        </is>
      </c>
      <c r="E20" t="inlineStr">
        <is>
          <t>Sì</t>
        </is>
      </c>
    </row>
    <row r="21">
      <c r="A21" t="inlineStr">
        <is>
          <t>PQ5</t>
        </is>
      </c>
      <c r="B21" s="7" t="inlineStr">
        <is>
          <t>L’organizzazione riflette e agisce sul rapporto tra longevità lavorativa, avanzamenti di carriera, sostenibilità dei ruoli e benessere delle persone nelle diverse fasi della vita professionale?</t>
        </is>
      </c>
      <c r="C21" t="n">
        <v>2</v>
      </c>
      <c r="D21" t="inlineStr">
        <is>
          <t>Y</t>
        </is>
      </c>
      <c r="E21" t="inlineStr">
        <is>
          <t>Sì</t>
        </is>
      </c>
    </row>
    <row r="22">
      <c r="A22" t="inlineStr">
        <is>
          <t>PQ6</t>
        </is>
      </c>
      <c r="B22" s="7" t="inlineStr">
        <is>
          <t>I processi HR considerano le specificità delle diverse identità, garantendo opportunità eque?</t>
        </is>
      </c>
      <c r="C22" t="n">
        <v>2</v>
      </c>
      <c r="D22" t="inlineStr">
        <is>
          <t>Z</t>
        </is>
      </c>
      <c r="E22" t="inlineStr">
        <is>
          <t>Sì</t>
        </is>
      </c>
    </row>
    <row r="23">
      <c r="A23" t="inlineStr">
        <is>
          <t>PQ7</t>
        </is>
      </c>
      <c r="B23" s="7" t="inlineStr">
        <is>
          <t>L'organizzazione prevede formazione per promuovere opportunità eque di carriera e lo sviluppo continuo delle competenze professionali?</t>
        </is>
      </c>
      <c r="C23" t="n">
        <v>1</v>
      </c>
      <c r="D23" t="inlineStr">
        <is>
          <t>AA</t>
        </is>
      </c>
      <c r="E23" t="inlineStr">
        <is>
          <t>Sì</t>
        </is>
      </c>
    </row>
    <row r="24">
      <c r="A24" t="inlineStr">
        <is>
          <t>CQ6</t>
        </is>
      </c>
      <c r="B24" s="7" t="inlineStr">
        <is>
          <t>Sono offerti percorsi di formazione strutturati su bias (pregiudizi inconsapevoli o automatismi) e relazioni consapevoli?</t>
        </is>
      </c>
      <c r="C24" t="n">
        <v>2</v>
      </c>
      <c r="D24" t="inlineStr">
        <is>
          <t>AB</t>
        </is>
      </c>
      <c r="E24" t="inlineStr">
        <is>
          <t>Sì</t>
        </is>
      </c>
    </row>
    <row r="25">
      <c r="A25" t="inlineStr">
        <is>
          <t>PQ8</t>
        </is>
      </c>
      <c r="B25" s="7" t="inlineStr">
        <is>
          <t>I bias sono monitorati e l'organizzazione compie azioni per limitarne l'impatto nelle fasi chiave HR (selezione, performance, avanzamenti, retribuzioni)?</t>
        </is>
      </c>
      <c r="C25" t="n">
        <v>4</v>
      </c>
      <c r="D25" t="inlineStr">
        <is>
          <t>AC</t>
        </is>
      </c>
      <c r="E25" t="inlineStr">
        <is>
          <t>Sì</t>
        </is>
      </c>
    </row>
    <row r="26">
      <c r="A26" t="inlineStr">
        <is>
          <t>PQ9</t>
        </is>
      </c>
      <c r="B26" s="7" t="inlineStr">
        <is>
          <t>Esistono strategie per attrarre, trattenere e valorizzare persone rappresentative delle diversità?</t>
        </is>
      </c>
      <c r="C26" t="n">
        <v>3</v>
      </c>
      <c r="D26" t="inlineStr">
        <is>
          <t>AD</t>
        </is>
      </c>
      <c r="E26" t="inlineStr">
        <is>
          <t>Sì</t>
        </is>
      </c>
    </row>
    <row r="27">
      <c r="A27" t="inlineStr">
        <is>
          <t>PQ10</t>
        </is>
      </c>
      <c r="B27" s="7" t="inlineStr">
        <is>
          <t>Nell'organizzazione, la diversità è rappresentata in modo equilibrato nei diversi ruoli e funzioni?</t>
        </is>
      </c>
      <c r="C27" t="n">
        <v>2</v>
      </c>
      <c r="D27" t="inlineStr">
        <is>
          <t>AE</t>
        </is>
      </c>
      <c r="E27" t="inlineStr">
        <is>
          <t>Sì</t>
        </is>
      </c>
    </row>
    <row r="28">
      <c r="A28" t="inlineStr">
        <is>
          <t>PQ11</t>
        </is>
      </c>
      <c r="B28" s="7" t="inlineStr">
        <is>
          <t>È implementata una politica di parità salariale con audit regolari?</t>
        </is>
      </c>
      <c r="C28" t="n">
        <v>2</v>
      </c>
      <c r="D28" t="inlineStr">
        <is>
          <t>AF</t>
        </is>
      </c>
      <c r="E28" t="inlineStr">
        <is>
          <t>Sì</t>
        </is>
      </c>
    </row>
    <row r="29">
      <c r="A29" t="inlineStr">
        <is>
          <t>PQ12</t>
        </is>
      </c>
      <c r="B29" s="7" t="inlineStr">
        <is>
          <t>I flussi di lavoro sono documentati, accessibili e progettati per ridurre bias e barriere, favorendo equità tra le persone?</t>
        </is>
      </c>
      <c r="C29" t="n">
        <v>2</v>
      </c>
      <c r="D29" t="inlineStr">
        <is>
          <t>AG</t>
        </is>
      </c>
      <c r="E29" t="inlineStr">
        <is>
          <t>Sì</t>
        </is>
      </c>
    </row>
    <row r="30">
      <c r="A30" t="inlineStr">
        <is>
          <t>SQ1</t>
        </is>
      </c>
      <c r="B30" s="7" t="inlineStr">
        <is>
          <t>Le policy e le procedure organizzative tengono in considerazione la DEIA?</t>
        </is>
      </c>
      <c r="C30" t="n">
        <v>2</v>
      </c>
      <c r="D30" t="inlineStr">
        <is>
          <t>AH</t>
        </is>
      </c>
      <c r="E30" t="inlineStr">
        <is>
          <t>Sì</t>
        </is>
      </c>
    </row>
    <row r="31">
      <c r="A31" t="inlineStr">
        <is>
          <t>PQ13</t>
        </is>
      </c>
      <c r="B31" s="7" t="inlineStr">
        <is>
          <t>I processi e le policy organizzative sono progettati secondo principi di Universal Design e prevedono accomodamenti ragionevoli per garantire accessibilità e inclusione per tutte le persone, incluse quelle con disabilità o neurodiversità?</t>
        </is>
      </c>
      <c r="C31" t="n">
        <v>2</v>
      </c>
      <c r="D31" t="inlineStr">
        <is>
          <t>AI</t>
        </is>
      </c>
      <c r="E31" t="inlineStr">
        <is>
          <t>Sì</t>
        </is>
      </c>
    </row>
    <row r="32">
      <c r="A32" t="inlineStr">
        <is>
          <t>PQ14</t>
        </is>
      </c>
      <c r="B32" s="7" t="inlineStr">
        <is>
          <t>Le tecnologie organizzative (sito web, intranet, piattaforme collaborative, sistemi HR, email, app) rispettano standard di accessibilità digitale per garantire pari opportunità di accesso e utilizzo a tutte le persone?</t>
        </is>
      </c>
      <c r="C32" t="n">
        <v>2</v>
      </c>
      <c r="D32" t="inlineStr">
        <is>
          <t>AJ</t>
        </is>
      </c>
      <c r="E32" t="inlineStr">
        <is>
          <t>Sì</t>
        </is>
      </c>
    </row>
    <row r="33">
      <c r="A33" t="inlineStr">
        <is>
          <t>PQ15</t>
        </is>
      </c>
      <c r="B33" s="7" t="inlineStr">
        <is>
          <t>Sono progettate e implementate soluzioni di accessibilità fisica per persone neurodivergenti o con disabilità visibili e invisibili?</t>
        </is>
      </c>
      <c r="C33" t="n">
        <v>1</v>
      </c>
      <c r="D33" t="inlineStr">
        <is>
          <t>AK</t>
        </is>
      </c>
      <c r="E33" t="inlineStr">
        <is>
          <t>Sì</t>
        </is>
      </c>
    </row>
    <row r="34">
      <c r="A34" t="inlineStr">
        <is>
          <t>PQ16</t>
        </is>
      </c>
      <c r="B34" s="7" t="inlineStr">
        <is>
          <t>I sistemi tech e digitali (es. AI, piattaforme HR, CRM) sono verificati per evitare bias o effetti discriminatori?</t>
        </is>
      </c>
      <c r="C34" t="n">
        <v>1</v>
      </c>
      <c r="D34" t="inlineStr">
        <is>
          <t>AL</t>
        </is>
      </c>
      <c r="E34" t="inlineStr">
        <is>
          <t>Sì</t>
        </is>
      </c>
    </row>
    <row r="35">
      <c r="A35" t="inlineStr">
        <is>
          <t>SQ2</t>
        </is>
      </c>
      <c r="B35" s="7" t="inlineStr">
        <is>
          <t>La leadership promuove attivamente la DEIA con consapevolezza e responsabilità?</t>
        </is>
      </c>
      <c r="C35" t="n">
        <v>2</v>
      </c>
      <c r="D35" t="inlineStr">
        <is>
          <t>AM</t>
        </is>
      </c>
      <c r="E35" t="inlineStr">
        <is>
          <t>Sì</t>
        </is>
      </c>
    </row>
    <row r="36">
      <c r="A36" t="inlineStr">
        <is>
          <t>SQ3</t>
        </is>
      </c>
      <c r="B36" s="7" t="inlineStr">
        <is>
          <t>La leadership è formata in modo strutturato su competenze legate a diversità, equità, inclusione e accessibilità?</t>
        </is>
      </c>
      <c r="C36" t="n">
        <v>2</v>
      </c>
      <c r="D36" t="inlineStr">
        <is>
          <t>AN</t>
        </is>
      </c>
      <c r="E36" t="inlineStr">
        <is>
          <t>Sì</t>
        </is>
      </c>
    </row>
    <row r="37">
      <c r="A37" t="inlineStr">
        <is>
          <t>SQ4</t>
        </is>
      </c>
      <c r="B37" s="7" t="inlineStr">
        <is>
          <t>La leadership agisce in modo coerente rispetto ai valori DEIA dichiarati?</t>
        </is>
      </c>
      <c r="C37" t="n">
        <v>2</v>
      </c>
      <c r="D37" t="inlineStr">
        <is>
          <t>AO</t>
        </is>
      </c>
      <c r="E37" t="inlineStr">
        <is>
          <t>Sì</t>
        </is>
      </c>
    </row>
    <row r="38">
      <c r="A38" t="inlineStr">
        <is>
          <t>SQ5</t>
        </is>
      </c>
      <c r="B38" s="7" t="inlineStr">
        <is>
          <t>Sono previsti specifici KPI di valutazione della leadership rispetto al raggiungimento di obiettivi legati alla diversificazione dei team e alla costruzione di ambienti di lavoro inclusivi?</t>
        </is>
      </c>
      <c r="C38" t="n">
        <v>1</v>
      </c>
      <c r="D38" t="inlineStr">
        <is>
          <t>AP</t>
        </is>
      </c>
      <c r="E38" t="inlineStr">
        <is>
          <t>Sì</t>
        </is>
      </c>
    </row>
    <row r="39">
      <c r="A39" t="inlineStr">
        <is>
          <t>SQ6</t>
        </is>
      </c>
      <c r="B39" s="7" t="inlineStr">
        <is>
          <t>Le responsabilità DEIA sono chiaramente definite e distribuite nell’organizzazione, con la presenza di figure o strutture che ne coordinano la governance?</t>
        </is>
      </c>
      <c r="C39" t="n">
        <v>2</v>
      </c>
      <c r="D39" t="inlineStr">
        <is>
          <t>AQ</t>
        </is>
      </c>
      <c r="E39" t="inlineStr">
        <is>
          <t>Sì</t>
        </is>
      </c>
    </row>
    <row r="40">
      <c r="A40" t="inlineStr">
        <is>
          <t>MQ1</t>
        </is>
      </c>
      <c r="B40" s="7" t="inlineStr">
        <is>
          <t>La strategia, le azioni e i risultati riferibili alla DEIA sono comunicati con trasparenza verso tutti gli stakeholder interni ed esterni (dipendenti, clienti, fornitori, società civile,…)?</t>
        </is>
      </c>
      <c r="C40" t="n">
        <v>2</v>
      </c>
      <c r="D40" t="inlineStr">
        <is>
          <t>AR</t>
        </is>
      </c>
      <c r="E40" t="inlineStr">
        <is>
          <t>Sì</t>
        </is>
      </c>
    </row>
    <row r="41">
      <c r="A41" t="inlineStr">
        <is>
          <t>MQ2</t>
        </is>
      </c>
      <c r="B41" s="7" t="inlineStr">
        <is>
          <t>La strategia di marketing e comunicazione esterna (PR, media, growth marketing) tiene in considerazione le diversità della società?</t>
        </is>
      </c>
      <c r="C41" t="n">
        <v>4</v>
      </c>
      <c r="D41" t="inlineStr">
        <is>
          <t>AS</t>
        </is>
      </c>
      <c r="E41" t="inlineStr">
        <is>
          <t>Sì</t>
        </is>
      </c>
    </row>
    <row r="42">
      <c r="A42" t="inlineStr">
        <is>
          <t>MQ3</t>
        </is>
      </c>
      <c r="B42" s="7" t="inlineStr">
        <is>
          <t>Le campagne di comunicazione includono rappresentazione visiva e narrativa delle diversità (aspetto fisico, disabilità, età, etnia, genere, LGBT+, religione, status socio economico)?</t>
        </is>
      </c>
      <c r="C42" t="n">
        <v>2</v>
      </c>
      <c r="D42" t="inlineStr">
        <is>
          <t>AT</t>
        </is>
      </c>
      <c r="E42" t="inlineStr">
        <is>
          <t>Sì</t>
        </is>
      </c>
    </row>
    <row r="43">
      <c r="A43" t="inlineStr">
        <is>
          <t>MQ4</t>
        </is>
      </c>
      <c r="B43" s="7" t="inlineStr">
        <is>
          <t>Le campagne di comunicazione sono progettate per essere accessibili?</t>
        </is>
      </c>
      <c r="C43" t="n">
        <v>2</v>
      </c>
      <c r="D43" t="inlineStr">
        <is>
          <t>AU</t>
        </is>
      </c>
      <c r="E43" t="inlineStr">
        <is>
          <t>Sì</t>
        </is>
      </c>
    </row>
    <row r="44">
      <c r="A44" t="inlineStr">
        <is>
          <t>MQ5</t>
        </is>
      </c>
      <c r="B44" s="7" t="inlineStr">
        <is>
          <t>L'impatto delle campagne di marketing e comunicazione è monitorato prendendo in considerazione le diversità?</t>
        </is>
      </c>
      <c r="C44" t="n">
        <v>1</v>
      </c>
      <c r="D44" t="inlineStr">
        <is>
          <t>AV</t>
        </is>
      </c>
      <c r="E44" t="inlineStr">
        <is>
          <t>Sì</t>
        </is>
      </c>
    </row>
    <row r="45">
      <c r="A45" t="inlineStr">
        <is>
          <t>MQ6</t>
        </is>
      </c>
      <c r="B45" s="7" t="inlineStr">
        <is>
          <t>Il mercato riconosce l’impegno DEIA dell’organizzazione e questa percezione viene misurata e utilizzata per migliorare?</t>
        </is>
      </c>
      <c r="C45" t="n">
        <v>1</v>
      </c>
      <c r="D45" t="inlineStr">
        <is>
          <t>AW</t>
        </is>
      </c>
      <c r="E45" t="inlineStr">
        <is>
          <t>Sì</t>
        </is>
      </c>
    </row>
    <row r="46">
      <c r="A46" t="inlineStr">
        <is>
          <t>MQ7</t>
        </is>
      </c>
      <c r="B46" s="7" t="inlineStr">
        <is>
          <t>La strategia di segmentazione di mercato prende in considerazione le diversità della customer base?</t>
        </is>
      </c>
      <c r="C46" t="n">
        <v>2</v>
      </c>
      <c r="D46" t="inlineStr">
        <is>
          <t>AX</t>
        </is>
      </c>
      <c r="E46" t="inlineStr">
        <is>
          <t>Sì</t>
        </is>
      </c>
    </row>
    <row r="47">
      <c r="A47" t="inlineStr">
        <is>
          <t>MQ8</t>
        </is>
      </c>
      <c r="B47" s="7" t="inlineStr">
        <is>
          <t>I risultati di vendita/fatturato sono monitorati tenendo in considerazione la diversità della clientela?</t>
        </is>
      </c>
      <c r="C47" t="n">
        <v>2</v>
      </c>
      <c r="D47" t="inlineStr">
        <is>
          <t>AY</t>
        </is>
      </c>
      <c r="E47" t="inlineStr">
        <is>
          <t>Sì</t>
        </is>
      </c>
    </row>
    <row r="48">
      <c r="A48" t="inlineStr">
        <is>
          <t>MQ9</t>
        </is>
      </c>
      <c r="B48" s="7" t="inlineStr">
        <is>
          <t>L'organizzazione considera i fattori di diversità, equità, inclusione e accessibilità quando realizza ricerche di mercato su brand equity, prodotto, servizi e comunicazione (es. survey, focus group)?</t>
        </is>
      </c>
      <c r="C48" t="n">
        <v>1</v>
      </c>
      <c r="D48" t="inlineStr">
        <is>
          <t>AZ</t>
        </is>
      </c>
      <c r="E48" t="inlineStr">
        <is>
          <t>Sì</t>
        </is>
      </c>
    </row>
    <row r="49">
      <c r="A49" t="inlineStr">
        <is>
          <t>CQ7</t>
        </is>
      </c>
      <c r="B49" s="7" t="inlineStr">
        <is>
          <t>I team che si occupano dell'esperienza cliente e di sviluppo prodotti e servizi ricevono formazione sulle tematiche DEIA?</t>
        </is>
      </c>
      <c r="C49" t="n">
        <v>2</v>
      </c>
      <c r="D49" t="inlineStr">
        <is>
          <t>BA</t>
        </is>
      </c>
      <c r="E49" t="inlineStr">
        <is>
          <t>Sì</t>
        </is>
      </c>
    </row>
    <row r="50">
      <c r="A50" t="inlineStr">
        <is>
          <t>MQ10</t>
        </is>
      </c>
      <c r="B50" s="7" t="inlineStr">
        <is>
          <t>I prodotti e i servizi sono progettati considerando le specificità delle diverse identità presenti nell'organizzazione?</t>
        </is>
      </c>
      <c r="C50" t="n">
        <v>2</v>
      </c>
      <c r="D50" t="inlineStr">
        <is>
          <t>BB</t>
        </is>
      </c>
      <c r="E50" t="inlineStr">
        <is>
          <t>Sì</t>
        </is>
      </c>
    </row>
    <row r="51">
      <c r="A51" t="inlineStr">
        <is>
          <t>MQ11</t>
        </is>
      </c>
      <c r="B51" s="7" t="inlineStr">
        <is>
          <t>Le persone rappresentative delle diversità sono coinvolte nelle fasi di test e validazione di prodotti/servizi?</t>
        </is>
      </c>
      <c r="C51" t="n">
        <v>2</v>
      </c>
      <c r="D51" t="inlineStr">
        <is>
          <t>BC</t>
        </is>
      </c>
      <c r="E51" t="inlineStr">
        <is>
          <t>Sì</t>
        </is>
      </c>
    </row>
    <row r="52">
      <c r="A52" t="inlineStr">
        <is>
          <t>MQ12</t>
        </is>
      </c>
      <c r="B52" s="7" t="inlineStr">
        <is>
          <t>L'esperienza cliente considera, in ogni punto di contatto, le persone rappresentative delle diversità nell'organizzazione?</t>
        </is>
      </c>
      <c r="C52" t="n">
        <v>3</v>
      </c>
      <c r="D52" t="inlineStr">
        <is>
          <t>BD</t>
        </is>
      </c>
      <c r="E52" t="inlineStr">
        <is>
          <t>Sì</t>
        </is>
      </c>
    </row>
    <row r="53">
      <c r="A53" t="inlineStr">
        <is>
          <t>MQ13</t>
        </is>
      </c>
      <c r="B53" s="7" t="inlineStr">
        <is>
          <t>Gli spazi retail e gli spazi aperti al pubblico esterno sono accessibili fisicamente a persone con disabilità?</t>
        </is>
      </c>
      <c r="C53" t="n">
        <v>2</v>
      </c>
      <c r="D53" t="inlineStr">
        <is>
          <t>BE</t>
        </is>
      </c>
      <c r="E53" t="inlineStr">
        <is>
          <t>Sì</t>
        </is>
      </c>
    </row>
    <row r="54">
      <c r="A54" t="inlineStr">
        <is>
          <t>PQ17</t>
        </is>
      </c>
      <c r="B54" s="7" t="inlineStr">
        <is>
          <t>I processi d'innovazione considerano le diversità, l'equità, l'inclusione e l'accessibilità?</t>
        </is>
      </c>
      <c r="C54" t="n">
        <v>3</v>
      </c>
      <c r="D54" t="inlineStr">
        <is>
          <t>BF</t>
        </is>
      </c>
      <c r="E54" t="inlineStr">
        <is>
          <t>Sì</t>
        </is>
      </c>
    </row>
    <row r="55">
      <c r="A55" t="inlineStr">
        <is>
          <t>PQ18</t>
        </is>
      </c>
      <c r="B55" s="7" t="inlineStr">
        <is>
          <t>I team di ricerca e sviluppo, di marketing e comunicazione hanno competenze multidisciplinari e prospettive diversificate?</t>
        </is>
      </c>
      <c r="C55" t="n">
        <v>2</v>
      </c>
      <c r="D55" t="inlineStr">
        <is>
          <t>BG</t>
        </is>
      </c>
      <c r="E55" t="inlineStr">
        <is>
          <t>Sì</t>
        </is>
      </c>
    </row>
    <row r="56">
      <c r="A56" t="inlineStr">
        <is>
          <t>PQ19</t>
        </is>
      </c>
      <c r="B56" s="7" t="inlineStr">
        <is>
          <t>Esistono linee guida etiche per l’utilizzo di AI e sistemi automatizzati rispetto a equità, trasparenza e non discriminazione?</t>
        </is>
      </c>
      <c r="C56" t="n">
        <v>2</v>
      </c>
      <c r="D56" t="inlineStr">
        <is>
          <t>BH</t>
        </is>
      </c>
      <c r="E56" t="inlineStr">
        <is>
          <t>Sì</t>
        </is>
      </c>
    </row>
    <row r="57">
      <c r="A57" t="inlineStr">
        <is>
          <t>MQ14</t>
        </is>
      </c>
      <c r="B57" s="7" t="inlineStr">
        <is>
          <t>L’organizzazione misura l’impatto sociale di prodotti, servizi e della comunicazione?</t>
        </is>
      </c>
      <c r="C57" t="n">
        <v>2</v>
      </c>
      <c r="D57" t="inlineStr">
        <is>
          <t>BI</t>
        </is>
      </c>
      <c r="E57" t="inlineStr">
        <is>
          <t>Sì</t>
        </is>
      </c>
    </row>
    <row r="58">
      <c r="A58" t="inlineStr">
        <is>
          <t>MQ15</t>
        </is>
      </c>
      <c r="B58" s="7" t="inlineStr">
        <is>
          <t>L’organizzazione promuove e/o realizza iniziative a beneficio della comunità?</t>
        </is>
      </c>
      <c r="C58" t="n">
        <v>4</v>
      </c>
      <c r="D58" t="inlineStr">
        <is>
          <t>BJ</t>
        </is>
      </c>
      <c r="E58" t="inlineStr">
        <is>
          <t>Sì</t>
        </is>
      </c>
    </row>
    <row r="59">
      <c r="A59" t="inlineStr">
        <is>
          <t>MQ16</t>
        </is>
      </c>
      <c r="B59" s="7" t="inlineStr">
        <is>
          <t>L’organizzazione partecipa attivamente a iniziative pubbliche a favore dell’inclusione e dei diritti umani?</t>
        </is>
      </c>
      <c r="C59" t="n">
        <v>4</v>
      </c>
      <c r="D59" t="inlineStr">
        <is>
          <t>BK</t>
        </is>
      </c>
      <c r="E59" t="inlineStr">
        <is>
          <t>Sì</t>
        </is>
      </c>
    </row>
    <row r="60">
      <c r="A60" t="inlineStr">
        <is>
          <t>MQ17</t>
        </is>
      </c>
      <c r="B60" s="7" t="inlineStr">
        <is>
          <t>La politica di qualifica, selezione, rinnovo e audit dei fornitori prevede il rispetto dei criteri DEIA e li monitora nel tempo?</t>
        </is>
      </c>
      <c r="C60" t="n">
        <v>2</v>
      </c>
      <c r="D60" t="inlineStr">
        <is>
          <t>BL</t>
        </is>
      </c>
      <c r="E60" t="inlineStr">
        <is>
          <t>Sì</t>
        </is>
      </c>
    </row>
    <row r="61">
      <c r="A61" t="inlineStr">
        <is>
          <t>MQ18</t>
        </is>
      </c>
      <c r="B61" s="7" t="inlineStr">
        <is>
          <t>L’organizzazione coinvolge fornitori e altri partner esterni in iniziative o attività relative alla DEIA?</t>
        </is>
      </c>
      <c r="C61" t="n">
        <v>2</v>
      </c>
      <c r="D61" t="inlineStr">
        <is>
          <t>BM</t>
        </is>
      </c>
      <c r="E61" t="inlineStr">
        <is>
          <t>No</t>
        </is>
      </c>
    </row>
    <row r="62">
      <c r="A62" t="inlineStr">
        <is>
          <t>SQ7</t>
        </is>
      </c>
      <c r="B62" s="7" t="inlineStr">
        <is>
          <t>L’organizzazione conduce analisi periodiche dei bisogni legati alla DEIA?</t>
        </is>
      </c>
      <c r="C62" t="n">
        <v>3</v>
      </c>
      <c r="D62" t="inlineStr">
        <is>
          <t>BN</t>
        </is>
      </c>
      <c r="E62" t="inlineStr">
        <is>
          <t>Sì</t>
        </is>
      </c>
    </row>
    <row r="63">
      <c r="A63" t="inlineStr">
        <is>
          <t>SQ8</t>
        </is>
      </c>
      <c r="B63" s="7" t="inlineStr">
        <is>
          <t>Sono presenti KPI per misurare e monitorare in modo strutturato le iniziative e le politiche DEIA?</t>
        </is>
      </c>
      <c r="C63" t="n">
        <v>3</v>
      </c>
      <c r="D63" t="inlineStr">
        <is>
          <t>BO</t>
        </is>
      </c>
      <c r="E63" t="inlineStr">
        <is>
          <t>Sì</t>
        </is>
      </c>
    </row>
    <row r="64">
      <c r="A64" t="inlineStr">
        <is>
          <t>SQ9</t>
        </is>
      </c>
      <c r="B64" s="7" t="inlineStr">
        <is>
          <t>La DEIA è inclusa nei valori dell'organizzazione?</t>
        </is>
      </c>
      <c r="C64" t="n">
        <v>2</v>
      </c>
      <c r="D64" t="inlineStr">
        <is>
          <t>BP</t>
        </is>
      </c>
      <c r="E64" t="inlineStr">
        <is>
          <t>Sì</t>
        </is>
      </c>
    </row>
    <row r="65">
      <c r="A65" t="inlineStr">
        <is>
          <t>SQ10</t>
        </is>
      </c>
      <c r="B65" s="7" t="inlineStr">
        <is>
          <t>La DEIA è integrata in modo strutturale nella visione strategica dell'organizzazione?</t>
        </is>
      </c>
      <c r="C65" t="n">
        <v>2</v>
      </c>
      <c r="D65" t="inlineStr">
        <is>
          <t>BQ</t>
        </is>
      </c>
      <c r="E65" t="inlineStr">
        <is>
          <t>Sì</t>
        </is>
      </c>
    </row>
    <row r="66">
      <c r="A66" t="inlineStr">
        <is>
          <t>SQ11</t>
        </is>
      </c>
      <c r="B66" s="7" t="inlineStr">
        <is>
          <t>L'organizzazione ha un piano strategico DEIA pluriennale con obiettivi chiari e misurabili?</t>
        </is>
      </c>
      <c r="C66" t="n">
        <v>3</v>
      </c>
      <c r="D66" t="inlineStr">
        <is>
          <t>BR</t>
        </is>
      </c>
      <c r="E66" t="inlineStr">
        <is>
          <t>Sì</t>
        </is>
      </c>
    </row>
    <row r="67">
      <c r="A67" t="inlineStr">
        <is>
          <t>SQ12</t>
        </is>
      </c>
      <c r="B67" s="7" t="inlineStr">
        <is>
          <t>In che misura l'organizzazione assume decisioni finanziarie (es. budget, investimenti, incentivi) che tengono esplicitamente conto di obiettivi di diversità, equità, inclusione e accessibilità?</t>
        </is>
      </c>
      <c r="C67" t="n">
        <v>1</v>
      </c>
      <c r="D67" t="inlineStr">
        <is>
          <t>BS</t>
        </is>
      </c>
      <c r="E67" t="inlineStr">
        <is>
          <t>Sì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5" customWidth="1" min="4" max="4"/>
    <col width="14" customWidth="1" min="5" max="5"/>
    <col width="40" customWidth="1" min="6" max="6"/>
    <col width="18" customWidth="1" min="7" max="7"/>
  </cols>
  <sheetData>
    <row r="1">
      <c r="A1" s="1" t="inlineStr">
        <is>
          <t>Input reporting B - content analysis (asse Y)</t>
        </is>
      </c>
    </row>
    <row r="3">
      <c r="A3" s="3" t="inlineStr">
        <is>
          <t>File origine</t>
        </is>
      </c>
      <c r="B3" t="inlineStr">
        <is>
          <t>elaborato_giorgia.xlsx</t>
        </is>
      </c>
    </row>
    <row r="4">
      <c r="A4" s="3" t="inlineStr">
        <is>
          <t>Foglio origine</t>
        </is>
      </c>
      <c r="B4" t="inlineStr">
        <is>
          <t>matrice_y</t>
        </is>
      </c>
    </row>
    <row r="8" ht="30" customHeight="1">
      <c r="A8" s="6" t="inlineStr">
        <is>
          <t>Azienda</t>
        </is>
      </c>
      <c r="B8" s="6" t="inlineStr">
        <is>
          <t>Dimensione</t>
        </is>
      </c>
      <c r="C8" s="6" t="inlineStr">
        <is>
          <t>Tema reporting</t>
        </is>
      </c>
      <c r="D8" s="6" t="inlineStr">
        <is>
          <t>Score reporting</t>
        </is>
      </c>
      <c r="E8" s="6" t="inlineStr">
        <is>
          <t>Usato matrice</t>
        </is>
      </c>
      <c r="F8" s="6" t="inlineStr">
        <is>
          <t>Chiave lookup</t>
        </is>
      </c>
      <c r="G8" s="6" t="inlineStr">
        <is>
          <t>Riga fonte dataset</t>
        </is>
      </c>
    </row>
    <row r="9">
      <c r="A9" t="inlineStr">
        <is>
          <t>4BILD S.p.A.</t>
        </is>
      </c>
      <c r="B9" t="inlineStr">
        <is>
          <t>PMI</t>
        </is>
      </c>
      <c r="C9" t="inlineStr">
        <is>
          <t>Foundation</t>
        </is>
      </c>
      <c r="D9" t="n">
        <v>4</v>
      </c>
      <c r="E9" t="inlineStr">
        <is>
          <t>Sì</t>
        </is>
      </c>
      <c r="F9" t="inlineStr">
        <is>
          <t>4BILD S.p.A.|Foundation</t>
        </is>
      </c>
      <c r="G9" t="n">
        <v>2</v>
      </c>
    </row>
    <row r="10">
      <c r="A10" t="inlineStr">
        <is>
          <t>4BILD S.p.A.</t>
        </is>
      </c>
      <c r="B10" t="inlineStr">
        <is>
          <t>PMI</t>
        </is>
      </c>
      <c r="C10" t="inlineStr">
        <is>
          <t>HR</t>
        </is>
      </c>
      <c r="D10" t="n">
        <v>3</v>
      </c>
      <c r="E10" t="inlineStr">
        <is>
          <t>Sì</t>
        </is>
      </c>
      <c r="F10" t="inlineStr">
        <is>
          <t>4BILD S.p.A.|HR</t>
        </is>
      </c>
      <c r="G10" t="n">
        <v>2</v>
      </c>
    </row>
    <row r="11">
      <c r="A11" t="inlineStr">
        <is>
          <t>4BILD S.p.A.</t>
        </is>
      </c>
      <c r="B11" t="inlineStr">
        <is>
          <t>PMI</t>
        </is>
      </c>
      <c r="C11" t="inlineStr">
        <is>
          <t>Employment</t>
        </is>
      </c>
      <c r="D11" t="n">
        <v>3</v>
      </c>
      <c r="E11" t="inlineStr">
        <is>
          <t>Sì</t>
        </is>
      </c>
      <c r="F11" t="inlineStr">
        <is>
          <t>4BILD S.p.A.|Employment</t>
        </is>
      </c>
      <c r="G11" t="n">
        <v>2</v>
      </c>
    </row>
    <row r="12">
      <c r="A12" t="inlineStr">
        <is>
          <t>4BILD S.p.A.</t>
        </is>
      </c>
      <c r="B12" t="inlineStr">
        <is>
          <t>PMI</t>
        </is>
      </c>
      <c r="C12" t="inlineStr">
        <is>
          <t>Employees Engagement</t>
        </is>
      </c>
      <c r="D12" t="n">
        <v>3</v>
      </c>
      <c r="E12" t="inlineStr">
        <is>
          <t>Sì</t>
        </is>
      </c>
      <c r="F12" t="inlineStr">
        <is>
          <t>4BILD S.p.A.|Employees Engagement</t>
        </is>
      </c>
      <c r="G12" t="n">
        <v>2</v>
      </c>
    </row>
    <row r="13">
      <c r="A13" t="inlineStr">
        <is>
          <t>4BILD S.p.A.</t>
        </is>
      </c>
      <c r="B13" t="inlineStr">
        <is>
          <t>PMI</t>
        </is>
      </c>
      <c r="C13" t="inlineStr">
        <is>
          <t>Education &amp; Training</t>
        </is>
      </c>
      <c r="D13" t="n">
        <v>3</v>
      </c>
      <c r="E13" t="inlineStr">
        <is>
          <t>Sì</t>
        </is>
      </c>
      <c r="F13" t="inlineStr">
        <is>
          <t>4BILD S.p.A.|Education &amp; Training</t>
        </is>
      </c>
      <c r="G13" t="n">
        <v>2</v>
      </c>
    </row>
    <row r="14">
      <c r="A14" t="inlineStr">
        <is>
          <t>4BILD S.p.A.</t>
        </is>
      </c>
      <c r="B14" t="inlineStr">
        <is>
          <t>PMI</t>
        </is>
      </c>
      <c r="C14" t="inlineStr">
        <is>
          <t>Non-discrimination</t>
        </is>
      </c>
      <c r="D14" t="n">
        <v>4</v>
      </c>
      <c r="E14" t="inlineStr">
        <is>
          <t>Sì</t>
        </is>
      </c>
      <c r="F14" t="inlineStr">
        <is>
          <t>4BILD S.p.A.|Non-discrimination</t>
        </is>
      </c>
      <c r="G14" t="n">
        <v>2</v>
      </c>
    </row>
    <row r="15">
      <c r="A15" t="inlineStr">
        <is>
          <t>4BILD S.p.A.</t>
        </is>
      </c>
      <c r="B15" t="inlineStr">
        <is>
          <t>PMI</t>
        </is>
      </c>
      <c r="C15" t="inlineStr">
        <is>
          <t>Monitoring</t>
        </is>
      </c>
      <c r="D15" t="n">
        <v>3</v>
      </c>
      <c r="E15" t="inlineStr">
        <is>
          <t>Sì</t>
        </is>
      </c>
      <c r="F15" t="inlineStr">
        <is>
          <t>4BILD S.p.A.|Monitoring</t>
        </is>
      </c>
      <c r="G15" t="n">
        <v>2</v>
      </c>
    </row>
    <row r="16">
      <c r="A16" t="inlineStr">
        <is>
          <t>4BILD S.p.A.</t>
        </is>
      </c>
      <c r="B16" t="inlineStr">
        <is>
          <t>PMI</t>
        </is>
      </c>
      <c r="C16" t="inlineStr">
        <is>
          <t>Supply Chain Diversity</t>
        </is>
      </c>
      <c r="D16" t="n">
        <v>3</v>
      </c>
      <c r="E16" t="inlineStr">
        <is>
          <t>Sì</t>
        </is>
      </c>
      <c r="F16" t="inlineStr">
        <is>
          <t>4BILD S.p.A.|Supply Chain Diversity</t>
        </is>
      </c>
      <c r="G16" t="n">
        <v>2</v>
      </c>
    </row>
    <row r="17">
      <c r="A17" t="inlineStr">
        <is>
          <t>4BILD S.p.A.</t>
        </is>
      </c>
      <c r="B17" t="inlineStr">
        <is>
          <t>PMI</t>
        </is>
      </c>
      <c r="C17" t="inlineStr">
        <is>
          <t>Communities</t>
        </is>
      </c>
      <c r="D17" t="n">
        <v>3</v>
      </c>
      <c r="E17" t="inlineStr">
        <is>
          <t>Sì</t>
        </is>
      </c>
      <c r="F17" t="inlineStr">
        <is>
          <t>4BILD S.p.A.|Communities</t>
        </is>
      </c>
      <c r="G17" t="n">
        <v>2</v>
      </c>
    </row>
    <row r="18">
      <c r="A18" t="inlineStr">
        <is>
          <t>4BILD S.p.A.</t>
        </is>
      </c>
      <c r="B18" t="inlineStr">
        <is>
          <t>PMI</t>
        </is>
      </c>
      <c r="C18" t="inlineStr">
        <is>
          <t>End-users</t>
        </is>
      </c>
      <c r="D18" t="n">
        <v>2</v>
      </c>
      <c r="E18" t="inlineStr">
        <is>
          <t>Sì</t>
        </is>
      </c>
      <c r="F18" t="inlineStr">
        <is>
          <t>4BILD S.p.A.|End-users</t>
        </is>
      </c>
      <c r="G1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5" customWidth="1" min="4" max="4"/>
    <col width="22" customWidth="1" min="5" max="5"/>
    <col width="13" customWidth="1" min="6" max="6"/>
    <col width="9" customWidth="1" min="7" max="7"/>
    <col width="9" customWidth="1" min="8" max="8"/>
    <col width="22" customWidth="1" min="9" max="9"/>
    <col width="11" customWidth="1" min="10" max="10"/>
    <col width="22" customWidth="1" min="11" max="11"/>
    <col width="11" customWidth="1" min="12" max="12"/>
    <col width="10" customWidth="1" min="13" max="13"/>
    <col width="12" customWidth="1" min="14" max="14"/>
    <col width="11" customWidth="1" min="15" max="15"/>
    <col width="13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Mappatura A-B-C</t>
        </is>
      </c>
    </row>
    <row r="2">
      <c r="A2" t="inlineStr">
        <is>
          <t>Mappatura domanda survey -&gt; tema reporting con pesi, quote 70/30 e contributi al numeratore/denominatore dell'asse X.</t>
        </is>
      </c>
    </row>
    <row r="4" ht="30" customHeight="1">
      <c r="A4" s="6" t="inlineStr">
        <is>
          <t>Col. Qualtrics</t>
        </is>
      </c>
      <c r="B4" s="6" t="inlineStr">
        <is>
          <t>N.</t>
        </is>
      </c>
      <c r="C4" s="6" t="inlineStr">
        <is>
          <t>Cod. domanda</t>
        </is>
      </c>
      <c r="D4" s="6" t="inlineStr">
        <is>
          <t>Framework diversity</t>
        </is>
      </c>
      <c r="E4" s="6" t="inlineStr">
        <is>
          <t>Sottogruppo</t>
        </is>
      </c>
      <c r="F4" s="6" t="inlineStr">
        <is>
          <t>Cod. standard</t>
        </is>
      </c>
      <c r="G4" s="6" t="inlineStr">
        <is>
          <t>Cod. 1</t>
        </is>
      </c>
      <c r="H4" s="6" t="inlineStr">
        <is>
          <t>Cod. 2</t>
        </is>
      </c>
      <c r="I4" s="6" t="inlineStr">
        <is>
          <t>Tema 1</t>
        </is>
      </c>
      <c r="J4" s="6" t="inlineStr">
        <is>
          <t>% alloc. 1</t>
        </is>
      </c>
      <c r="K4" s="6" t="inlineStr">
        <is>
          <t>Tema 2</t>
        </is>
      </c>
      <c r="L4" s="6" t="inlineStr">
        <is>
          <t>% alloc. 2</t>
        </is>
      </c>
      <c r="M4" s="6" t="inlineStr">
        <is>
          <t>Peso PMI</t>
        </is>
      </c>
      <c r="N4" s="6" t="inlineStr">
        <is>
          <t>Peso GRANDI</t>
        </is>
      </c>
      <c r="O4" s="6" t="inlineStr">
        <is>
          <t>Peso usato</t>
        </is>
      </c>
      <c r="P4" s="6" t="inlineStr">
        <is>
          <t>Risposta survey</t>
        </is>
      </c>
      <c r="Q4" s="6" t="inlineStr">
        <is>
          <t>Inclusa matrice</t>
        </is>
      </c>
      <c r="R4" s="6" t="inlineStr">
        <is>
          <t>Motivo esclusione / stato</t>
        </is>
      </c>
      <c r="S4" s="6" t="inlineStr">
        <is>
          <t>Contributo num. tema 1</t>
        </is>
      </c>
      <c r="T4" s="6" t="inlineStr">
        <is>
          <t>Contributo den. tema 1</t>
        </is>
      </c>
      <c r="U4" s="6" t="inlineStr">
        <is>
          <t>Contributo num. tema 2</t>
        </is>
      </c>
      <c r="V4" s="6" t="inlineStr">
        <is>
          <t>Contributo den. tema 2</t>
        </is>
      </c>
    </row>
    <row r="5">
      <c r="A5" s="8" t="inlineStr">
        <is>
          <t>P</t>
        </is>
      </c>
      <c r="B5" s="8" t="n">
        <v>1</v>
      </c>
      <c r="C5" s="8" t="inlineStr">
        <is>
          <t>CQ1</t>
        </is>
      </c>
      <c r="D5" s="8" t="inlineStr">
        <is>
          <t>CULTURA</t>
        </is>
      </c>
      <c r="E5" s="8" t="inlineStr">
        <is>
          <t>CULTURA E COMPORTAMENTI</t>
        </is>
      </c>
      <c r="F5" s="8" t="inlineStr">
        <is>
          <t>MAT</t>
        </is>
      </c>
      <c r="G5" s="8" t="inlineStr"/>
      <c r="H5" s="8" t="inlineStr"/>
      <c r="I5" s="8">
        <f>IF(G5="","",IFERROR(VLOOKUP(G5,'Note e assunzioni'!$A$23:$B$32,2,FALSE),"Codice non mappato"))</f>
        <v/>
      </c>
      <c r="J5" s="8">
        <f>IF(Q5="Sì",IF(H5="",1,0.7),0)</f>
        <v/>
      </c>
      <c r="K5" s="8">
        <f>IF(H5="","",IFERROR(VLOOKUP(H5,'Note e assunzioni'!$A$23:$B$32,2,FALSE),"Codice non mappato"))</f>
        <v/>
      </c>
      <c r="L5" s="8">
        <f>IF(Q5="Sì",IF(H5="",0,0.3),0)</f>
        <v/>
      </c>
      <c r="M5" s="8" t="n">
        <v>1</v>
      </c>
      <c r="N5" s="8" t="n">
        <v>1</v>
      </c>
      <c r="O5" s="8">
        <f>IF('Input survey A'!$B$7="PMI",IF(M5="","",M5),IF(N5="","",N5))</f>
        <v/>
      </c>
      <c r="P5" s="8">
        <f>IFERROR(INDEX('Input survey A'!$C$12:$C$67,MATCH(C5,'Input survey A'!$A$12:$A$67,0)),"")</f>
        <v/>
      </c>
      <c r="Q5" s="8">
        <f>IF(F5="MAT","No",IF(G5="","No",IF(O5="","No",IF(OR(NOT(ISNUMBER(P5)),P5&lt;1,P5&gt;4),"No","Sì"))))</f>
        <v/>
      </c>
      <c r="R5" s="8">
        <f>IF(F5="MAT","MAT - esclusa dal calcolo matrice",IF(G5="","Cod. 1 assente",IF(O5="","Peso assente/non numerico",IF(NOT(ISNUMBER(P5)),"Risposta assente/non numerica",IF(OR(P5&lt;1,P5&gt;4),"Risposta fuori scala","Inclusa")))))</f>
        <v/>
      </c>
      <c r="S5" s="9">
        <f>IF(Q5="Sì",P5*O5*J5,0)</f>
        <v/>
      </c>
      <c r="T5" s="9">
        <f>IF(Q5="Sì",O5*J5,0)</f>
        <v/>
      </c>
      <c r="U5" s="9">
        <f>IF(Q5="Sì",P5*O5*L5,0)</f>
        <v/>
      </c>
      <c r="V5" s="9">
        <f>IF(Q5="Sì",O5*L5,0)</f>
        <v/>
      </c>
    </row>
    <row r="6">
      <c r="A6" s="8" t="inlineStr">
        <is>
          <t>Q</t>
        </is>
      </c>
      <c r="B6" s="8" t="n">
        <v>2</v>
      </c>
      <c r="C6" s="8" t="inlineStr">
        <is>
          <t>CQ2</t>
        </is>
      </c>
      <c r="D6" s="8" t="inlineStr">
        <is>
          <t>CULTURA</t>
        </is>
      </c>
      <c r="E6" s="8" t="inlineStr">
        <is>
          <t>CULTURA E COMPORTAMENTI</t>
        </is>
      </c>
      <c r="F6" s="8" t="inlineStr">
        <is>
          <t>EE</t>
        </is>
      </c>
      <c r="G6" s="8" t="inlineStr">
        <is>
          <t>EE</t>
        </is>
      </c>
      <c r="H6" s="8" t="inlineStr"/>
      <c r="I6" s="8">
        <f>IF(G6="","",IFERROR(VLOOKUP(G6,'Note e assunzioni'!$A$23:$B$32,2,FALSE),"Codice non mappato"))</f>
        <v/>
      </c>
      <c r="J6" s="8">
        <f>IF(Q6="Sì",IF(H6="",1,0.7),0)</f>
        <v/>
      </c>
      <c r="K6" s="8">
        <f>IF(H6="","",IFERROR(VLOOKUP(H6,'Note e assunzioni'!$A$23:$B$32,2,FALSE),"Codice non mappato"))</f>
        <v/>
      </c>
      <c r="L6" s="8">
        <f>IF(Q6="Sì",IF(H6="",0,0.3),0)</f>
        <v/>
      </c>
      <c r="M6" s="8" t="n">
        <v>3</v>
      </c>
      <c r="N6" s="8" t="n">
        <v>2.5</v>
      </c>
      <c r="O6" s="8">
        <f>IF('Input survey A'!$B$7="PMI",IF(M6="","",M6),IF(N6="","",N6))</f>
        <v/>
      </c>
      <c r="P6" s="8">
        <f>IFERROR(INDEX('Input survey A'!$C$12:$C$67,MATCH(C6,'Input survey A'!$A$12:$A$67,0)),"")</f>
        <v/>
      </c>
      <c r="Q6" s="8">
        <f>IF(F6="MAT","No",IF(G6="","No",IF(O6="","No",IF(OR(NOT(ISNUMBER(P6)),P6&lt;1,P6&gt;4),"No","Sì"))))</f>
        <v/>
      </c>
      <c r="R6" s="8">
        <f>IF(F6="MAT","MAT - esclusa dal calcolo matrice",IF(G6="","Cod. 1 assente",IF(O6="","Peso assente/non numerico",IF(NOT(ISNUMBER(P6)),"Risposta assente/non numerica",IF(OR(P6&lt;1,P6&gt;4),"Risposta fuori scala","Inclusa")))))</f>
        <v/>
      </c>
      <c r="S6" s="9">
        <f>IF(Q6="Sì",P6*O6*J6,0)</f>
        <v/>
      </c>
      <c r="T6" s="9">
        <f>IF(Q6="Sì",O6*J6,0)</f>
        <v/>
      </c>
      <c r="U6" s="9">
        <f>IF(Q6="Sì",P6*O6*L6,0)</f>
        <v/>
      </c>
      <c r="V6" s="9">
        <f>IF(Q6="Sì",O6*L6,0)</f>
        <v/>
      </c>
    </row>
    <row r="7">
      <c r="A7" s="8" t="inlineStr">
        <is>
          <t>R</t>
        </is>
      </c>
      <c r="B7" s="8" t="n">
        <v>3</v>
      </c>
      <c r="C7" s="8" t="inlineStr">
        <is>
          <t>CQ3</t>
        </is>
      </c>
      <c r="D7" s="8" t="inlineStr">
        <is>
          <t>CULTURA</t>
        </is>
      </c>
      <c r="E7" s="8" t="inlineStr">
        <is>
          <t>CULTURA E COMPORTAMENTI</t>
        </is>
      </c>
      <c r="F7" s="8" t="inlineStr">
        <is>
          <t>EE/ND</t>
        </is>
      </c>
      <c r="G7" s="8" t="inlineStr">
        <is>
          <t>EE</t>
        </is>
      </c>
      <c r="H7" s="8" t="inlineStr">
        <is>
          <t>ND</t>
        </is>
      </c>
      <c r="I7" s="8">
        <f>IF(G7="","",IFERROR(VLOOKUP(G7,'Note e assunzioni'!$A$23:$B$32,2,FALSE),"Codice non mappato"))</f>
        <v/>
      </c>
      <c r="J7" s="8">
        <f>IF(Q7="Sì",IF(H7="",1,0.7),0)</f>
        <v/>
      </c>
      <c r="K7" s="8">
        <f>IF(H7="","",IFERROR(VLOOKUP(H7,'Note e assunzioni'!$A$23:$B$32,2,FALSE),"Codice non mappato"))</f>
        <v/>
      </c>
      <c r="L7" s="8">
        <f>IF(Q7="Sì",IF(H7="",0,0.3),0)</f>
        <v/>
      </c>
      <c r="M7" s="8" t="n">
        <v>3</v>
      </c>
      <c r="N7" s="8" t="n">
        <v>2</v>
      </c>
      <c r="O7" s="8">
        <f>IF('Input survey A'!$B$7="PMI",IF(M7="","",M7),IF(N7="","",N7))</f>
        <v/>
      </c>
      <c r="P7" s="8">
        <f>IFERROR(INDEX('Input survey A'!$C$12:$C$67,MATCH(C7,'Input survey A'!$A$12:$A$67,0)),"")</f>
        <v/>
      </c>
      <c r="Q7" s="8">
        <f>IF(F7="MAT","No",IF(G7="","No",IF(O7="","No",IF(OR(NOT(ISNUMBER(P7)),P7&lt;1,P7&gt;4),"No","Sì"))))</f>
        <v/>
      </c>
      <c r="R7" s="8">
        <f>IF(F7="MAT","MAT - esclusa dal calcolo matrice",IF(G7="","Cod. 1 assente",IF(O7="","Peso assente/non numerico",IF(NOT(ISNUMBER(P7)),"Risposta assente/non numerica",IF(OR(P7&lt;1,P7&gt;4),"Risposta fuori scala","Inclusa")))))</f>
        <v/>
      </c>
      <c r="S7" s="9">
        <f>IF(Q7="Sì",P7*O7*J7,0)</f>
        <v/>
      </c>
      <c r="T7" s="9">
        <f>IF(Q7="Sì",O7*J7,0)</f>
        <v/>
      </c>
      <c r="U7" s="9">
        <f>IF(Q7="Sì",P7*O7*L7,0)</f>
        <v/>
      </c>
      <c r="V7" s="9">
        <f>IF(Q7="Sì",O7*L7,0)</f>
        <v/>
      </c>
    </row>
    <row r="8">
      <c r="A8" s="8" t="inlineStr">
        <is>
          <t>S</t>
        </is>
      </c>
      <c r="B8" s="8" t="n">
        <v>4</v>
      </c>
      <c r="C8" s="8" t="inlineStr">
        <is>
          <t>CQ4</t>
        </is>
      </c>
      <c r="D8" s="8" t="inlineStr">
        <is>
          <t>CULTURA</t>
        </is>
      </c>
      <c r="E8" s="8" t="inlineStr">
        <is>
          <t>BENESSERE E SICUREZZA PSICOLOGICA</t>
        </is>
      </c>
      <c r="F8" s="8" t="inlineStr">
        <is>
          <t>ND</t>
        </is>
      </c>
      <c r="G8" s="8" t="inlineStr">
        <is>
          <t>ND</t>
        </is>
      </c>
      <c r="H8" s="8" t="inlineStr"/>
      <c r="I8" s="8">
        <f>IF(G8="","",IFERROR(VLOOKUP(G8,'Note e assunzioni'!$A$23:$B$32,2,FALSE),"Codice non mappato"))</f>
        <v/>
      </c>
      <c r="J8" s="8">
        <f>IF(Q8="Sì",IF(H8="",1,0.7),0)</f>
        <v/>
      </c>
      <c r="K8" s="8">
        <f>IF(H8="","",IFERROR(VLOOKUP(H8,'Note e assunzioni'!$A$23:$B$32,2,FALSE),"Codice non mappato"))</f>
        <v/>
      </c>
      <c r="L8" s="8">
        <f>IF(Q8="Sì",IF(H8="",0,0.3),0)</f>
        <v/>
      </c>
      <c r="M8" s="8" t="n">
        <v>1</v>
      </c>
      <c r="N8" s="8" t="n">
        <v>1</v>
      </c>
      <c r="O8" s="8">
        <f>IF('Input survey A'!$B$7="PMI",IF(M8="","",M8),IF(N8="","",N8))</f>
        <v/>
      </c>
      <c r="P8" s="8">
        <f>IFERROR(INDEX('Input survey A'!$C$12:$C$67,MATCH(C8,'Input survey A'!$A$12:$A$67,0)),"")</f>
        <v/>
      </c>
      <c r="Q8" s="8">
        <f>IF(F8="MAT","No",IF(G8="","No",IF(O8="","No",IF(OR(NOT(ISNUMBER(P8)),P8&lt;1,P8&gt;4),"No","Sì"))))</f>
        <v/>
      </c>
      <c r="R8" s="8">
        <f>IF(F8="MAT","MAT - esclusa dal calcolo matrice",IF(G8="","Cod. 1 assente",IF(O8="","Peso assente/non numerico",IF(NOT(ISNUMBER(P8)),"Risposta assente/non numerica",IF(OR(P8&lt;1,P8&gt;4),"Risposta fuori scala","Inclusa")))))</f>
        <v/>
      </c>
      <c r="S8" s="9">
        <f>IF(Q8="Sì",P8*O8*J8,0)</f>
        <v/>
      </c>
      <c r="T8" s="9">
        <f>IF(Q8="Sì",O8*J8,0)</f>
        <v/>
      </c>
      <c r="U8" s="9">
        <f>IF(Q8="Sì",P8*O8*L8,0)</f>
        <v/>
      </c>
      <c r="V8" s="9">
        <f>IF(Q8="Sì",O8*L8,0)</f>
        <v/>
      </c>
    </row>
    <row r="9">
      <c r="A9" s="8" t="inlineStr">
        <is>
          <t>T</t>
        </is>
      </c>
      <c r="B9" s="8" t="n">
        <v>5</v>
      </c>
      <c r="C9" s="8" t="inlineStr">
        <is>
          <t>CQ5</t>
        </is>
      </c>
      <c r="D9" s="8" t="inlineStr">
        <is>
          <t>CULTURA</t>
        </is>
      </c>
      <c r="E9" s="8" t="inlineStr">
        <is>
          <t>BENESSERE E SICUREZZA PSICOLOGICA</t>
        </is>
      </c>
      <c r="F9" s="8" t="inlineStr">
        <is>
          <t>MAT</t>
        </is>
      </c>
      <c r="G9" s="8" t="inlineStr"/>
      <c r="H9" s="8" t="inlineStr"/>
      <c r="I9" s="8">
        <f>IF(G9="","",IFERROR(VLOOKUP(G9,'Note e assunzioni'!$A$23:$B$32,2,FALSE),"Codice non mappato"))</f>
        <v/>
      </c>
      <c r="J9" s="8">
        <f>IF(Q9="Sì",IF(H9="",1,0.7),0)</f>
        <v/>
      </c>
      <c r="K9" s="8">
        <f>IF(H9="","",IFERROR(VLOOKUP(H9,'Note e assunzioni'!$A$23:$B$32,2,FALSE),"Codice non mappato"))</f>
        <v/>
      </c>
      <c r="L9" s="8">
        <f>IF(Q9="Sì",IF(H9="",0,0.3),0)</f>
        <v/>
      </c>
      <c r="M9" s="8" t="n">
        <v>2.5</v>
      </c>
      <c r="N9" s="8" t="n">
        <v>1.5</v>
      </c>
      <c r="O9" s="8">
        <f>IF('Input survey A'!$B$7="PMI",IF(M9="","",M9),IF(N9="","",N9))</f>
        <v/>
      </c>
      <c r="P9" s="8">
        <f>IFERROR(INDEX('Input survey A'!$C$12:$C$67,MATCH(C9,'Input survey A'!$A$12:$A$67,0)),"")</f>
        <v/>
      </c>
      <c r="Q9" s="8">
        <f>IF(F9="MAT","No",IF(G9="","No",IF(O9="","No",IF(OR(NOT(ISNUMBER(P9)),P9&lt;1,P9&gt;4),"No","Sì"))))</f>
        <v/>
      </c>
      <c r="R9" s="8">
        <f>IF(F9="MAT","MAT - esclusa dal calcolo matrice",IF(G9="","Cod. 1 assente",IF(O9="","Peso assente/non numerico",IF(NOT(ISNUMBER(P9)),"Risposta assente/non numerica",IF(OR(P9&lt;1,P9&gt;4),"Risposta fuori scala","Inclusa")))))</f>
        <v/>
      </c>
      <c r="S9" s="9">
        <f>IF(Q9="Sì",P9*O9*J9,0)</f>
        <v/>
      </c>
      <c r="T9" s="9">
        <f>IF(Q9="Sì",O9*J9,0)</f>
        <v/>
      </c>
      <c r="U9" s="9">
        <f>IF(Q9="Sì",P9*O9*L9,0)</f>
        <v/>
      </c>
      <c r="V9" s="9">
        <f>IF(Q9="Sì",O9*L9,0)</f>
        <v/>
      </c>
    </row>
    <row r="10">
      <c r="A10" s="8" t="inlineStr">
        <is>
          <t>U</t>
        </is>
      </c>
      <c r="B10" s="8" t="n">
        <v>6</v>
      </c>
      <c r="C10" s="8" t="inlineStr">
        <is>
          <t>PQ1</t>
        </is>
      </c>
      <c r="D10" s="8" t="inlineStr">
        <is>
          <t>PROCESSI</t>
        </is>
      </c>
      <c r="E10" s="8" t="inlineStr">
        <is>
          <t>PROCESSI OPERATIVI E ACCESSIBILITÀ</t>
        </is>
      </c>
      <c r="F10" s="8" t="inlineStr">
        <is>
          <t>EE</t>
        </is>
      </c>
      <c r="G10" s="8" t="inlineStr">
        <is>
          <t>EE</t>
        </is>
      </c>
      <c r="H10" s="8" t="inlineStr"/>
      <c r="I10" s="8">
        <f>IF(G10="","",IFERROR(VLOOKUP(G10,'Note e assunzioni'!$A$23:$B$32,2,FALSE),"Codice non mappato"))</f>
        <v/>
      </c>
      <c r="J10" s="8">
        <f>IF(Q10="Sì",IF(H10="",1,0.7),0)</f>
        <v/>
      </c>
      <c r="K10" s="8">
        <f>IF(H10="","",IFERROR(VLOOKUP(H10,'Note e assunzioni'!$A$23:$B$32,2,FALSE),"Codice non mappato"))</f>
        <v/>
      </c>
      <c r="L10" s="8">
        <f>IF(Q10="Sì",IF(H10="",0,0.3),0)</f>
        <v/>
      </c>
      <c r="M10" s="8" t="n">
        <v>1.5</v>
      </c>
      <c r="N10" s="8" t="n">
        <v>1</v>
      </c>
      <c r="O10" s="8">
        <f>IF('Input survey A'!$B$7="PMI",IF(M10="","",M10),IF(N10="","",N10))</f>
        <v/>
      </c>
      <c r="P10" s="8">
        <f>IFERROR(INDEX('Input survey A'!$C$12:$C$67,MATCH(C10,'Input survey A'!$A$12:$A$67,0)),"")</f>
        <v/>
      </c>
      <c r="Q10" s="8">
        <f>IF(F10="MAT","No",IF(G10="","No",IF(O10="","No",IF(OR(NOT(ISNUMBER(P10)),P10&lt;1,P10&gt;4),"No","Sì"))))</f>
        <v/>
      </c>
      <c r="R10" s="8">
        <f>IF(F10="MAT","MAT - esclusa dal calcolo matrice",IF(G10="","Cod. 1 assente",IF(O10="","Peso assente/non numerico",IF(NOT(ISNUMBER(P10)),"Risposta assente/non numerica",IF(OR(P10&lt;1,P10&gt;4),"Risposta fuori scala","Inclusa")))))</f>
        <v/>
      </c>
      <c r="S10" s="9">
        <f>IF(Q10="Sì",P10*O10*J10,0)</f>
        <v/>
      </c>
      <c r="T10" s="9">
        <f>IF(Q10="Sì",O10*J10,0)</f>
        <v/>
      </c>
      <c r="U10" s="9">
        <f>IF(Q10="Sì",P10*O10*L10,0)</f>
        <v/>
      </c>
      <c r="V10" s="9">
        <f>IF(Q10="Sì",O10*L10,0)</f>
        <v/>
      </c>
    </row>
    <row r="11">
      <c r="A11" s="8" t="inlineStr">
        <is>
          <t>V</t>
        </is>
      </c>
      <c r="B11" s="8" t="n">
        <v>7</v>
      </c>
      <c r="C11" s="8" t="inlineStr">
        <is>
          <t>PQ2</t>
        </is>
      </c>
      <c r="D11" s="8" t="inlineStr">
        <is>
          <t>PROCESSI</t>
        </is>
      </c>
      <c r="E11" s="8" t="inlineStr">
        <is>
          <t>PERSONE E PROCESSI</t>
        </is>
      </c>
      <c r="F11" s="8" t="inlineStr">
        <is>
          <t>ET1/ET2</t>
        </is>
      </c>
      <c r="G11" s="8" t="inlineStr">
        <is>
          <t>ET</t>
        </is>
      </c>
      <c r="H11" s="8" t="inlineStr"/>
      <c r="I11" s="8">
        <f>IF(G11="","",IFERROR(VLOOKUP(G11,'Note e assunzioni'!$A$23:$B$32,2,FALSE),"Codice non mappato"))</f>
        <v/>
      </c>
      <c r="J11" s="8">
        <f>IF(Q11="Sì",IF(H11="",1,0.7),0)</f>
        <v/>
      </c>
      <c r="K11" s="8">
        <f>IF(H11="","",IFERROR(VLOOKUP(H11,'Note e assunzioni'!$A$23:$B$32,2,FALSE),"Codice non mappato"))</f>
        <v/>
      </c>
      <c r="L11" s="8">
        <f>IF(Q11="Sì",IF(H11="",0,0.3),0)</f>
        <v/>
      </c>
      <c r="M11" s="8" t="n">
        <v>2.5</v>
      </c>
      <c r="N11" s="8" t="n">
        <v>1.5</v>
      </c>
      <c r="O11" s="8">
        <f>IF('Input survey A'!$B$7="PMI",IF(M11="","",M11),IF(N11="","",N11))</f>
        <v/>
      </c>
      <c r="P11" s="8">
        <f>IFERROR(INDEX('Input survey A'!$C$12:$C$67,MATCH(C11,'Input survey A'!$A$12:$A$67,0)),"")</f>
        <v/>
      </c>
      <c r="Q11" s="8">
        <f>IF(F11="MAT","No",IF(G11="","No",IF(O11="","No",IF(OR(NOT(ISNUMBER(P11)),P11&lt;1,P11&gt;4),"No","Sì"))))</f>
        <v/>
      </c>
      <c r="R11" s="8">
        <f>IF(F11="MAT","MAT - esclusa dal calcolo matrice",IF(G11="","Cod. 1 assente",IF(O11="","Peso assente/non numerico",IF(NOT(ISNUMBER(P11)),"Risposta assente/non numerica",IF(OR(P11&lt;1,P11&gt;4),"Risposta fuori scala","Inclusa")))))</f>
        <v/>
      </c>
      <c r="S11" s="9">
        <f>IF(Q11="Sì",P11*O11*J11,0)</f>
        <v/>
      </c>
      <c r="T11" s="9">
        <f>IF(Q11="Sì",O11*J11,0)</f>
        <v/>
      </c>
      <c r="U11" s="9">
        <f>IF(Q11="Sì",P11*O11*L11,0)</f>
        <v/>
      </c>
      <c r="V11" s="9">
        <f>IF(Q11="Sì",O11*L11,0)</f>
        <v/>
      </c>
    </row>
    <row r="12">
      <c r="A12" s="8" t="inlineStr">
        <is>
          <t>W</t>
        </is>
      </c>
      <c r="B12" s="8" t="n">
        <v>8</v>
      </c>
      <c r="C12" s="8" t="inlineStr">
        <is>
          <t>PQ3</t>
        </is>
      </c>
      <c r="D12" s="8" t="inlineStr">
        <is>
          <t>PROCESSI</t>
        </is>
      </c>
      <c r="E12" s="8" t="inlineStr">
        <is>
          <t>PERSONE E PROCESSI</t>
        </is>
      </c>
      <c r="F12" s="8" t="inlineStr">
        <is>
          <t>E2</t>
        </is>
      </c>
      <c r="G12" s="8" t="inlineStr">
        <is>
          <t>E</t>
        </is>
      </c>
      <c r="H12" s="8" t="inlineStr"/>
      <c r="I12" s="8">
        <f>IF(G12="","",IFERROR(VLOOKUP(G12,'Note e assunzioni'!$A$23:$B$32,2,FALSE),"Codice non mappato"))</f>
        <v/>
      </c>
      <c r="J12" s="8">
        <f>IF(Q12="Sì",IF(H12="",1,0.7),0)</f>
        <v/>
      </c>
      <c r="K12" s="8">
        <f>IF(H12="","",IFERROR(VLOOKUP(H12,'Note e assunzioni'!$A$23:$B$32,2,FALSE),"Codice non mappato"))</f>
        <v/>
      </c>
      <c r="L12" s="8">
        <f>IF(Q12="Sì",IF(H12="",0,0.3),0)</f>
        <v/>
      </c>
      <c r="M12" s="8" t="n">
        <v>1</v>
      </c>
      <c r="N12" s="8" t="n">
        <v>1</v>
      </c>
      <c r="O12" s="8">
        <f>IF('Input survey A'!$B$7="PMI",IF(M12="","",M12),IF(N12="","",N12))</f>
        <v/>
      </c>
      <c r="P12" s="8">
        <f>IFERROR(INDEX('Input survey A'!$C$12:$C$67,MATCH(C12,'Input survey A'!$A$12:$A$67,0)),"")</f>
        <v/>
      </c>
      <c r="Q12" s="8">
        <f>IF(F12="MAT","No",IF(G12="","No",IF(O12="","No",IF(OR(NOT(ISNUMBER(P12)),P12&lt;1,P12&gt;4),"No","Sì"))))</f>
        <v/>
      </c>
      <c r="R12" s="8">
        <f>IF(F12="MAT","MAT - esclusa dal calcolo matrice",IF(G12="","Cod. 1 assente",IF(O12="","Peso assente/non numerico",IF(NOT(ISNUMBER(P12)),"Risposta assente/non numerica",IF(OR(P12&lt;1,P12&gt;4),"Risposta fuori scala","Inclusa")))))</f>
        <v/>
      </c>
      <c r="S12" s="9">
        <f>IF(Q12="Sì",P12*O12*J12,0)</f>
        <v/>
      </c>
      <c r="T12" s="9">
        <f>IF(Q12="Sì",O12*J12,0)</f>
        <v/>
      </c>
      <c r="U12" s="9">
        <f>IF(Q12="Sì",P12*O12*L12,0)</f>
        <v/>
      </c>
      <c r="V12" s="9">
        <f>IF(Q12="Sì",O12*L12,0)</f>
        <v/>
      </c>
    </row>
    <row r="13">
      <c r="A13" s="8" t="inlineStr">
        <is>
          <t>X</t>
        </is>
      </c>
      <c r="B13" s="8" t="n">
        <v>9</v>
      </c>
      <c r="C13" s="8" t="inlineStr">
        <is>
          <t>PQ4</t>
        </is>
      </c>
      <c r="D13" s="8" t="inlineStr">
        <is>
          <t>PROCESSI</t>
        </is>
      </c>
      <c r="E13" s="8" t="inlineStr">
        <is>
          <t>PERSONE E PROCESSI</t>
        </is>
      </c>
      <c r="F13" s="8" t="inlineStr">
        <is>
          <t>E3</t>
        </is>
      </c>
      <c r="G13" s="8" t="inlineStr">
        <is>
          <t>E</t>
        </is>
      </c>
      <c r="H13" s="8" t="inlineStr"/>
      <c r="I13" s="8">
        <f>IF(G13="","",IFERROR(VLOOKUP(G13,'Note e assunzioni'!$A$23:$B$32,2,FALSE),"Codice non mappato"))</f>
        <v/>
      </c>
      <c r="J13" s="8">
        <f>IF(Q13="Sì",IF(H13="",1,0.7),0)</f>
        <v/>
      </c>
      <c r="K13" s="8">
        <f>IF(H13="","",IFERROR(VLOOKUP(H13,'Note e assunzioni'!$A$23:$B$32,2,FALSE),"Codice non mappato"))</f>
        <v/>
      </c>
      <c r="L13" s="8">
        <f>IF(Q13="Sì",IF(H13="",0,0.3),0)</f>
        <v/>
      </c>
      <c r="M13" s="8" t="n">
        <v>3</v>
      </c>
      <c r="N13" s="8" t="n">
        <v>2</v>
      </c>
      <c r="O13" s="8">
        <f>IF('Input survey A'!$B$7="PMI",IF(M13="","",M13),IF(N13="","",N13))</f>
        <v/>
      </c>
      <c r="P13" s="8">
        <f>IFERROR(INDEX('Input survey A'!$C$12:$C$67,MATCH(C13,'Input survey A'!$A$12:$A$67,0)),"")</f>
        <v/>
      </c>
      <c r="Q13" s="8">
        <f>IF(F13="MAT","No",IF(G13="","No",IF(O13="","No",IF(OR(NOT(ISNUMBER(P13)),P13&lt;1,P13&gt;4),"No","Sì"))))</f>
        <v/>
      </c>
      <c r="R13" s="8">
        <f>IF(F13="MAT","MAT - esclusa dal calcolo matrice",IF(G13="","Cod. 1 assente",IF(O13="","Peso assente/non numerico",IF(NOT(ISNUMBER(P13)),"Risposta assente/non numerica",IF(OR(P13&lt;1,P13&gt;4),"Risposta fuori scala","Inclusa")))))</f>
        <v/>
      </c>
      <c r="S13" s="9">
        <f>IF(Q13="Sì",P13*O13*J13,0)</f>
        <v/>
      </c>
      <c r="T13" s="9">
        <f>IF(Q13="Sì",O13*J13,0)</f>
        <v/>
      </c>
      <c r="U13" s="9">
        <f>IF(Q13="Sì",P13*O13*L13,0)</f>
        <v/>
      </c>
      <c r="V13" s="9">
        <f>IF(Q13="Sì",O13*L13,0)</f>
        <v/>
      </c>
    </row>
    <row r="14">
      <c r="A14" s="8" t="inlineStr">
        <is>
          <t>Y</t>
        </is>
      </c>
      <c r="B14" s="8" t="n">
        <v>10</v>
      </c>
      <c r="C14" s="8" t="inlineStr">
        <is>
          <t>PQ5</t>
        </is>
      </c>
      <c r="D14" s="8" t="inlineStr">
        <is>
          <t>PROCESSI</t>
        </is>
      </c>
      <c r="E14" s="8" t="inlineStr">
        <is>
          <t>PERSONE E PROCESSI</t>
        </is>
      </c>
      <c r="F14" s="8" t="inlineStr">
        <is>
          <t>E1/E2</t>
        </is>
      </c>
      <c r="G14" s="8" t="inlineStr">
        <is>
          <t>E</t>
        </is>
      </c>
      <c r="H14" s="8" t="inlineStr"/>
      <c r="I14" s="8">
        <f>IF(G14="","",IFERROR(VLOOKUP(G14,'Note e assunzioni'!$A$23:$B$32,2,FALSE),"Codice non mappato"))</f>
        <v/>
      </c>
      <c r="J14" s="8">
        <f>IF(Q14="Sì",IF(H14="",1,0.7),0)</f>
        <v/>
      </c>
      <c r="K14" s="8">
        <f>IF(H14="","",IFERROR(VLOOKUP(H14,'Note e assunzioni'!$A$23:$B$32,2,FALSE),"Codice non mappato"))</f>
        <v/>
      </c>
      <c r="L14" s="8">
        <f>IF(Q14="Sì",IF(H14="",0,0.3),0)</f>
        <v/>
      </c>
      <c r="M14" s="8" t="n">
        <v>3</v>
      </c>
      <c r="N14" s="8" t="n">
        <v>3</v>
      </c>
      <c r="O14" s="8">
        <f>IF('Input survey A'!$B$7="PMI",IF(M14="","",M14),IF(N14="","",N14))</f>
        <v/>
      </c>
      <c r="P14" s="8">
        <f>IFERROR(INDEX('Input survey A'!$C$12:$C$67,MATCH(C14,'Input survey A'!$A$12:$A$67,0)),"")</f>
        <v/>
      </c>
      <c r="Q14" s="8">
        <f>IF(F14="MAT","No",IF(G14="","No",IF(O14="","No",IF(OR(NOT(ISNUMBER(P14)),P14&lt;1,P14&gt;4),"No","Sì"))))</f>
        <v/>
      </c>
      <c r="R14" s="8">
        <f>IF(F14="MAT","MAT - esclusa dal calcolo matrice",IF(G14="","Cod. 1 assente",IF(O14="","Peso assente/non numerico",IF(NOT(ISNUMBER(P14)),"Risposta assente/non numerica",IF(OR(P14&lt;1,P14&gt;4),"Risposta fuori scala","Inclusa")))))</f>
        <v/>
      </c>
      <c r="S14" s="9">
        <f>IF(Q14="Sì",P14*O14*J14,0)</f>
        <v/>
      </c>
      <c r="T14" s="9">
        <f>IF(Q14="Sì",O14*J14,0)</f>
        <v/>
      </c>
      <c r="U14" s="9">
        <f>IF(Q14="Sì",P14*O14*L14,0)</f>
        <v/>
      </c>
      <c r="V14" s="9">
        <f>IF(Q14="Sì",O14*L14,0)</f>
        <v/>
      </c>
    </row>
    <row r="15">
      <c r="A15" s="8" t="inlineStr">
        <is>
          <t>Z</t>
        </is>
      </c>
      <c r="B15" s="8" t="n">
        <v>11</v>
      </c>
      <c r="C15" s="8" t="inlineStr">
        <is>
          <t>PQ6</t>
        </is>
      </c>
      <c r="D15" s="8" t="inlineStr">
        <is>
          <t>PROCESSI</t>
        </is>
      </c>
      <c r="E15" s="8" t="inlineStr">
        <is>
          <t>PERSONE E PROCESSI</t>
        </is>
      </c>
      <c r="F15" s="8" t="inlineStr">
        <is>
          <t>HR1/HR2</t>
        </is>
      </c>
      <c r="G15" s="8" t="inlineStr">
        <is>
          <t>HR</t>
        </is>
      </c>
      <c r="H15" s="8" t="inlineStr"/>
      <c r="I15" s="8">
        <f>IF(G15="","",IFERROR(VLOOKUP(G15,'Note e assunzioni'!$A$23:$B$32,2,FALSE),"Codice non mappato"))</f>
        <v/>
      </c>
      <c r="J15" s="8">
        <f>IF(Q15="Sì",IF(H15="",1,0.7),0)</f>
        <v/>
      </c>
      <c r="K15" s="8">
        <f>IF(H15="","",IFERROR(VLOOKUP(H15,'Note e assunzioni'!$A$23:$B$32,2,FALSE),"Codice non mappato"))</f>
        <v/>
      </c>
      <c r="L15" s="8">
        <f>IF(Q15="Sì",IF(H15="",0,0.3),0)</f>
        <v/>
      </c>
      <c r="M15" s="8" t="n">
        <v>2</v>
      </c>
      <c r="N15" s="8" t="n">
        <v>1</v>
      </c>
      <c r="O15" s="8">
        <f>IF('Input survey A'!$B$7="PMI",IF(M15="","",M15),IF(N15="","",N15))</f>
        <v/>
      </c>
      <c r="P15" s="8">
        <f>IFERROR(INDEX('Input survey A'!$C$12:$C$67,MATCH(C15,'Input survey A'!$A$12:$A$67,0)),"")</f>
        <v/>
      </c>
      <c r="Q15" s="8">
        <f>IF(F15="MAT","No",IF(G15="","No",IF(O15="","No",IF(OR(NOT(ISNUMBER(P15)),P15&lt;1,P15&gt;4),"No","Sì"))))</f>
        <v/>
      </c>
      <c r="R15" s="8">
        <f>IF(F15="MAT","MAT - esclusa dal calcolo matrice",IF(G15="","Cod. 1 assente",IF(O15="","Peso assente/non numerico",IF(NOT(ISNUMBER(P15)),"Risposta assente/non numerica",IF(OR(P15&lt;1,P15&gt;4),"Risposta fuori scala","Inclusa")))))</f>
        <v/>
      </c>
      <c r="S15" s="9">
        <f>IF(Q15="Sì",P15*O15*J15,0)</f>
        <v/>
      </c>
      <c r="T15" s="9">
        <f>IF(Q15="Sì",O15*J15,0)</f>
        <v/>
      </c>
      <c r="U15" s="9">
        <f>IF(Q15="Sì",P15*O15*L15,0)</f>
        <v/>
      </c>
      <c r="V15" s="9">
        <f>IF(Q15="Sì",O15*L15,0)</f>
        <v/>
      </c>
    </row>
    <row r="16">
      <c r="A16" s="8" t="inlineStr">
        <is>
          <t>AA</t>
        </is>
      </c>
      <c r="B16" s="8" t="n">
        <v>12</v>
      </c>
      <c r="C16" s="8" t="inlineStr">
        <is>
          <t>PQ7</t>
        </is>
      </c>
      <c r="D16" s="8" t="inlineStr">
        <is>
          <t>PROCESSI</t>
        </is>
      </c>
      <c r="E16" s="8" t="inlineStr">
        <is>
          <t>PERSONE E PROCESSI</t>
        </is>
      </c>
      <c r="F16" s="8" t="inlineStr">
        <is>
          <t>ET1/ET4</t>
        </is>
      </c>
      <c r="G16" s="8" t="inlineStr">
        <is>
          <t>ET</t>
        </is>
      </c>
      <c r="H16" s="8" t="inlineStr"/>
      <c r="I16" s="8">
        <f>IF(G16="","",IFERROR(VLOOKUP(G16,'Note e assunzioni'!$A$23:$B$32,2,FALSE),"Codice non mappato"))</f>
        <v/>
      </c>
      <c r="J16" s="8">
        <f>IF(Q16="Sì",IF(H16="",1,0.7),0)</f>
        <v/>
      </c>
      <c r="K16" s="8">
        <f>IF(H16="","",IFERROR(VLOOKUP(H16,'Note e assunzioni'!$A$23:$B$32,2,FALSE),"Codice non mappato"))</f>
        <v/>
      </c>
      <c r="L16" s="8">
        <f>IF(Q16="Sì",IF(H16="",0,0.3),0)</f>
        <v/>
      </c>
      <c r="M16" s="8" t="n">
        <v>2</v>
      </c>
      <c r="N16" s="8" t="n">
        <v>1.5</v>
      </c>
      <c r="O16" s="8">
        <f>IF('Input survey A'!$B$7="PMI",IF(M16="","",M16),IF(N16="","",N16))</f>
        <v/>
      </c>
      <c r="P16" s="8">
        <f>IFERROR(INDEX('Input survey A'!$C$12:$C$67,MATCH(C16,'Input survey A'!$A$12:$A$67,0)),"")</f>
        <v/>
      </c>
      <c r="Q16" s="8">
        <f>IF(F16="MAT","No",IF(G16="","No",IF(O16="","No",IF(OR(NOT(ISNUMBER(P16)),P16&lt;1,P16&gt;4),"No","Sì"))))</f>
        <v/>
      </c>
      <c r="R16" s="8">
        <f>IF(F16="MAT","MAT - esclusa dal calcolo matrice",IF(G16="","Cod. 1 assente",IF(O16="","Peso assente/non numerico",IF(NOT(ISNUMBER(P16)),"Risposta assente/non numerica",IF(OR(P16&lt;1,P16&gt;4),"Risposta fuori scala","Inclusa")))))</f>
        <v/>
      </c>
      <c r="S16" s="9">
        <f>IF(Q16="Sì",P16*O16*J16,0)</f>
        <v/>
      </c>
      <c r="T16" s="9">
        <f>IF(Q16="Sì",O16*J16,0)</f>
        <v/>
      </c>
      <c r="U16" s="9">
        <f>IF(Q16="Sì",P16*O16*L16,0)</f>
        <v/>
      </c>
      <c r="V16" s="9">
        <f>IF(Q16="Sì",O16*L16,0)</f>
        <v/>
      </c>
    </row>
    <row r="17">
      <c r="A17" s="8" t="inlineStr">
        <is>
          <t>AB</t>
        </is>
      </c>
      <c r="B17" s="8" t="n">
        <v>13</v>
      </c>
      <c r="C17" s="8" t="inlineStr">
        <is>
          <t>CQ6</t>
        </is>
      </c>
      <c r="D17" s="8" t="inlineStr">
        <is>
          <t>CULTURA</t>
        </is>
      </c>
      <c r="E17" s="8" t="inlineStr">
        <is>
          <t>FORMAZIONE E CONSAPEVOLEZZA</t>
        </is>
      </c>
      <c r="F17" s="8" t="inlineStr">
        <is>
          <t>ET2/ET3</t>
        </is>
      </c>
      <c r="G17" s="8" t="inlineStr">
        <is>
          <t>ET</t>
        </is>
      </c>
      <c r="H17" s="8" t="inlineStr"/>
      <c r="I17" s="8">
        <f>IF(G17="","",IFERROR(VLOOKUP(G17,'Note e assunzioni'!$A$23:$B$32,2,FALSE),"Codice non mappato"))</f>
        <v/>
      </c>
      <c r="J17" s="8">
        <f>IF(Q17="Sì",IF(H17="",1,0.7),0)</f>
        <v/>
      </c>
      <c r="K17" s="8">
        <f>IF(H17="","",IFERROR(VLOOKUP(H17,'Note e assunzioni'!$A$23:$B$32,2,FALSE),"Codice non mappato"))</f>
        <v/>
      </c>
      <c r="L17" s="8">
        <f>IF(Q17="Sì",IF(H17="",0,0.3),0)</f>
        <v/>
      </c>
      <c r="M17" s="8" t="n">
        <v>3</v>
      </c>
      <c r="N17" s="8" t="n">
        <v>1.5</v>
      </c>
      <c r="O17" s="8">
        <f>IF('Input survey A'!$B$7="PMI",IF(M17="","",M17),IF(N17="","",N17))</f>
        <v/>
      </c>
      <c r="P17" s="8">
        <f>IFERROR(INDEX('Input survey A'!$C$12:$C$67,MATCH(C17,'Input survey A'!$A$12:$A$67,0)),"")</f>
        <v/>
      </c>
      <c r="Q17" s="8">
        <f>IF(F17="MAT","No",IF(G17="","No",IF(O17="","No",IF(OR(NOT(ISNUMBER(P17)),P17&lt;1,P17&gt;4),"No","Sì"))))</f>
        <v/>
      </c>
      <c r="R17" s="8">
        <f>IF(F17="MAT","MAT - esclusa dal calcolo matrice",IF(G17="","Cod. 1 assente",IF(O17="","Peso assente/non numerico",IF(NOT(ISNUMBER(P17)),"Risposta assente/non numerica",IF(OR(P17&lt;1,P17&gt;4),"Risposta fuori scala","Inclusa")))))</f>
        <v/>
      </c>
      <c r="S17" s="9">
        <f>IF(Q17="Sì",P17*O17*J17,0)</f>
        <v/>
      </c>
      <c r="T17" s="9">
        <f>IF(Q17="Sì",O17*J17,0)</f>
        <v/>
      </c>
      <c r="U17" s="9">
        <f>IF(Q17="Sì",P17*O17*L17,0)</f>
        <v/>
      </c>
      <c r="V17" s="9">
        <f>IF(Q17="Sì",O17*L17,0)</f>
        <v/>
      </c>
    </row>
    <row r="18">
      <c r="A18" s="8" t="inlineStr">
        <is>
          <t>AC</t>
        </is>
      </c>
      <c r="B18" s="8" t="n">
        <v>14</v>
      </c>
      <c r="C18" s="8" t="inlineStr">
        <is>
          <t>PQ8</t>
        </is>
      </c>
      <c r="D18" s="8" t="inlineStr">
        <is>
          <t>PROCESSI</t>
        </is>
      </c>
      <c r="E18" s="8" t="inlineStr">
        <is>
          <t>PERSONE E PROCESSI</t>
        </is>
      </c>
      <c r="F18" s="8" t="inlineStr">
        <is>
          <t>HR2/E1</t>
        </is>
      </c>
      <c r="G18" s="8" t="inlineStr">
        <is>
          <t>HR</t>
        </is>
      </c>
      <c r="H18" s="8" t="inlineStr">
        <is>
          <t>E</t>
        </is>
      </c>
      <c r="I18" s="8">
        <f>IF(G18="","",IFERROR(VLOOKUP(G18,'Note e assunzioni'!$A$23:$B$32,2,FALSE),"Codice non mappato"))</f>
        <v/>
      </c>
      <c r="J18" s="8">
        <f>IF(Q18="Sì",IF(H18="",1,0.7),0)</f>
        <v/>
      </c>
      <c r="K18" s="8">
        <f>IF(H18="","",IFERROR(VLOOKUP(H18,'Note e assunzioni'!$A$23:$B$32,2,FALSE),"Codice non mappato"))</f>
        <v/>
      </c>
      <c r="L18" s="8">
        <f>IF(Q18="Sì",IF(H18="",0,0.3),0)</f>
        <v/>
      </c>
      <c r="M18" s="8" t="n">
        <v>2.5</v>
      </c>
      <c r="N18" s="8" t="n">
        <v>1.5</v>
      </c>
      <c r="O18" s="8">
        <f>IF('Input survey A'!$B$7="PMI",IF(M18="","",M18),IF(N18="","",N18))</f>
        <v/>
      </c>
      <c r="P18" s="8">
        <f>IFERROR(INDEX('Input survey A'!$C$12:$C$67,MATCH(C18,'Input survey A'!$A$12:$A$67,0)),"")</f>
        <v/>
      </c>
      <c r="Q18" s="8">
        <f>IF(F18="MAT","No",IF(G18="","No",IF(O18="","No",IF(OR(NOT(ISNUMBER(P18)),P18&lt;1,P18&gt;4),"No","Sì"))))</f>
        <v/>
      </c>
      <c r="R18" s="8">
        <f>IF(F18="MAT","MAT - esclusa dal calcolo matrice",IF(G18="","Cod. 1 assente",IF(O18="","Peso assente/non numerico",IF(NOT(ISNUMBER(P18)),"Risposta assente/non numerica",IF(OR(P18&lt;1,P18&gt;4),"Risposta fuori scala","Inclusa")))))</f>
        <v/>
      </c>
      <c r="S18" s="9">
        <f>IF(Q18="Sì",P18*O18*J18,0)</f>
        <v/>
      </c>
      <c r="T18" s="9">
        <f>IF(Q18="Sì",O18*J18,0)</f>
        <v/>
      </c>
      <c r="U18" s="9">
        <f>IF(Q18="Sì",P18*O18*L18,0)</f>
        <v/>
      </c>
      <c r="V18" s="9">
        <f>IF(Q18="Sì",O18*L18,0)</f>
        <v/>
      </c>
    </row>
    <row r="19">
      <c r="A19" s="8" t="inlineStr">
        <is>
          <t>AD</t>
        </is>
      </c>
      <c r="B19" s="8" t="n">
        <v>15</v>
      </c>
      <c r="C19" s="8" t="inlineStr">
        <is>
          <t>PQ9</t>
        </is>
      </c>
      <c r="D19" s="8" t="inlineStr">
        <is>
          <t>PROCESSI</t>
        </is>
      </c>
      <c r="E19" s="8" t="inlineStr">
        <is>
          <t>PERSONE E PROCESSI</t>
        </is>
      </c>
      <c r="F19" s="8" t="inlineStr">
        <is>
          <t>HR2/E1</t>
        </is>
      </c>
      <c r="G19" s="8" t="inlineStr">
        <is>
          <t>HR</t>
        </is>
      </c>
      <c r="H19" s="8" t="inlineStr">
        <is>
          <t>E</t>
        </is>
      </c>
      <c r="I19" s="8">
        <f>IF(G19="","",IFERROR(VLOOKUP(G19,'Note e assunzioni'!$A$23:$B$32,2,FALSE),"Codice non mappato"))</f>
        <v/>
      </c>
      <c r="J19" s="8">
        <f>IF(Q19="Sì",IF(H19="",1,0.7),0)</f>
        <v/>
      </c>
      <c r="K19" s="8">
        <f>IF(H19="","",IFERROR(VLOOKUP(H19,'Note e assunzioni'!$A$23:$B$32,2,FALSE),"Codice non mappato"))</f>
        <v/>
      </c>
      <c r="L19" s="8">
        <f>IF(Q19="Sì",IF(H19="",0,0.3),0)</f>
        <v/>
      </c>
      <c r="M19" s="8" t="n">
        <v>2.5</v>
      </c>
      <c r="N19" s="8" t="n">
        <v>1.5</v>
      </c>
      <c r="O19" s="8">
        <f>IF('Input survey A'!$B$7="PMI",IF(M19="","",M19),IF(N19="","",N19))</f>
        <v/>
      </c>
      <c r="P19" s="8">
        <f>IFERROR(INDEX('Input survey A'!$C$12:$C$67,MATCH(C19,'Input survey A'!$A$12:$A$67,0)),"")</f>
        <v/>
      </c>
      <c r="Q19" s="8">
        <f>IF(F19="MAT","No",IF(G19="","No",IF(O19="","No",IF(OR(NOT(ISNUMBER(P19)),P19&lt;1,P19&gt;4),"No","Sì"))))</f>
        <v/>
      </c>
      <c r="R19" s="8">
        <f>IF(F19="MAT","MAT - esclusa dal calcolo matrice",IF(G19="","Cod. 1 assente",IF(O19="","Peso assente/non numerico",IF(NOT(ISNUMBER(P19)),"Risposta assente/non numerica",IF(OR(P19&lt;1,P19&gt;4),"Risposta fuori scala","Inclusa")))))</f>
        <v/>
      </c>
      <c r="S19" s="9">
        <f>IF(Q19="Sì",P19*O19*J19,0)</f>
        <v/>
      </c>
      <c r="T19" s="9">
        <f>IF(Q19="Sì",O19*J19,0)</f>
        <v/>
      </c>
      <c r="U19" s="9">
        <f>IF(Q19="Sì",P19*O19*L19,0)</f>
        <v/>
      </c>
      <c r="V19" s="9">
        <f>IF(Q19="Sì",O19*L19,0)</f>
        <v/>
      </c>
    </row>
    <row r="20">
      <c r="A20" s="8" t="inlineStr">
        <is>
          <t>AE</t>
        </is>
      </c>
      <c r="B20" s="8" t="n">
        <v>16</v>
      </c>
      <c r="C20" s="8" t="inlineStr">
        <is>
          <t>PQ10</t>
        </is>
      </c>
      <c r="D20" s="8" t="inlineStr">
        <is>
          <t>PROCESSI</t>
        </is>
      </c>
      <c r="E20" s="8" t="inlineStr">
        <is>
          <t>PERSONE E PROCESSI</t>
        </is>
      </c>
      <c r="F20" s="8" t="inlineStr">
        <is>
          <t>M/HR1</t>
        </is>
      </c>
      <c r="G20" s="8" t="inlineStr">
        <is>
          <t>M</t>
        </is>
      </c>
      <c r="H20" s="8" t="inlineStr">
        <is>
          <t>HR</t>
        </is>
      </c>
      <c r="I20" s="8">
        <f>IF(G20="","",IFERROR(VLOOKUP(G20,'Note e assunzioni'!$A$23:$B$32,2,FALSE),"Codice non mappato"))</f>
        <v/>
      </c>
      <c r="J20" s="8">
        <f>IF(Q20="Sì",IF(H20="",1,0.7),0)</f>
        <v/>
      </c>
      <c r="K20" s="8">
        <f>IF(H20="","",IFERROR(VLOOKUP(H20,'Note e assunzioni'!$A$23:$B$32,2,FALSE),"Codice non mappato"))</f>
        <v/>
      </c>
      <c r="L20" s="8">
        <f>IF(Q20="Sì",IF(H20="",0,0.3),0)</f>
        <v/>
      </c>
      <c r="M20" s="8" t="n">
        <v>3</v>
      </c>
      <c r="N20" s="8" t="n">
        <v>1.5</v>
      </c>
      <c r="O20" s="8">
        <f>IF('Input survey A'!$B$7="PMI",IF(M20="","",M20),IF(N20="","",N20))</f>
        <v/>
      </c>
      <c r="P20" s="8">
        <f>IFERROR(INDEX('Input survey A'!$C$12:$C$67,MATCH(C20,'Input survey A'!$A$12:$A$67,0)),"")</f>
        <v/>
      </c>
      <c r="Q20" s="8">
        <f>IF(F20="MAT","No",IF(G20="","No",IF(O20="","No",IF(OR(NOT(ISNUMBER(P20)),P20&lt;1,P20&gt;4),"No","Sì"))))</f>
        <v/>
      </c>
      <c r="R20" s="8">
        <f>IF(F20="MAT","MAT - esclusa dal calcolo matrice",IF(G20="","Cod. 1 assente",IF(O20="","Peso assente/non numerico",IF(NOT(ISNUMBER(P20)),"Risposta assente/non numerica",IF(OR(P20&lt;1,P20&gt;4),"Risposta fuori scala","Inclusa")))))</f>
        <v/>
      </c>
      <c r="S20" s="9">
        <f>IF(Q20="Sì",P20*O20*J20,0)</f>
        <v/>
      </c>
      <c r="T20" s="9">
        <f>IF(Q20="Sì",O20*J20,0)</f>
        <v/>
      </c>
      <c r="U20" s="9">
        <f>IF(Q20="Sì",P20*O20*L20,0)</f>
        <v/>
      </c>
      <c r="V20" s="9">
        <f>IF(Q20="Sì",O20*L20,0)</f>
        <v/>
      </c>
    </row>
    <row r="21">
      <c r="A21" s="8" t="inlineStr">
        <is>
          <t>AF</t>
        </is>
      </c>
      <c r="B21" s="8" t="n">
        <v>17</v>
      </c>
      <c r="C21" s="8" t="inlineStr">
        <is>
          <t>PQ11</t>
        </is>
      </c>
      <c r="D21" s="8" t="inlineStr">
        <is>
          <t>PROCESSI</t>
        </is>
      </c>
      <c r="E21" s="8" t="inlineStr">
        <is>
          <t>PERSONE E PROCESSI</t>
        </is>
      </c>
      <c r="F21" s="8" t="inlineStr">
        <is>
          <t>E2/E4</t>
        </is>
      </c>
      <c r="G21" s="8" t="inlineStr">
        <is>
          <t>E</t>
        </is>
      </c>
      <c r="H21" s="8" t="inlineStr"/>
      <c r="I21" s="8">
        <f>IF(G21="","",IFERROR(VLOOKUP(G21,'Note e assunzioni'!$A$23:$B$32,2,FALSE),"Codice non mappato"))</f>
        <v/>
      </c>
      <c r="J21" s="8">
        <f>IF(Q21="Sì",IF(H21="",1,0.7),0)</f>
        <v/>
      </c>
      <c r="K21" s="8">
        <f>IF(H21="","",IFERROR(VLOOKUP(H21,'Note e assunzioni'!$A$23:$B$32,2,FALSE),"Codice non mappato"))</f>
        <v/>
      </c>
      <c r="L21" s="8">
        <f>IF(Q21="Sì",IF(H21="",0,0.3),0)</f>
        <v/>
      </c>
      <c r="M21" s="8" t="n">
        <v>1.5</v>
      </c>
      <c r="N21" s="8" t="n">
        <v>1</v>
      </c>
      <c r="O21" s="8">
        <f>IF('Input survey A'!$B$7="PMI",IF(M21="","",M21),IF(N21="","",N21))</f>
        <v/>
      </c>
      <c r="P21" s="8">
        <f>IFERROR(INDEX('Input survey A'!$C$12:$C$67,MATCH(C21,'Input survey A'!$A$12:$A$67,0)),"")</f>
        <v/>
      </c>
      <c r="Q21" s="8">
        <f>IF(F21="MAT","No",IF(G21="","No",IF(O21="","No",IF(OR(NOT(ISNUMBER(P21)),P21&lt;1,P21&gt;4),"No","Sì"))))</f>
        <v/>
      </c>
      <c r="R21" s="8">
        <f>IF(F21="MAT","MAT - esclusa dal calcolo matrice",IF(G21="","Cod. 1 assente",IF(O21="","Peso assente/non numerico",IF(NOT(ISNUMBER(P21)),"Risposta assente/non numerica",IF(OR(P21&lt;1,P21&gt;4),"Risposta fuori scala","Inclusa")))))</f>
        <v/>
      </c>
      <c r="S21" s="9">
        <f>IF(Q21="Sì",P21*O21*J21,0)</f>
        <v/>
      </c>
      <c r="T21" s="9">
        <f>IF(Q21="Sì",O21*J21,0)</f>
        <v/>
      </c>
      <c r="U21" s="9">
        <f>IF(Q21="Sì",P21*O21*L21,0)</f>
        <v/>
      </c>
      <c r="V21" s="9">
        <f>IF(Q21="Sì",O21*L21,0)</f>
        <v/>
      </c>
    </row>
    <row r="22">
      <c r="A22" s="8" t="inlineStr">
        <is>
          <t>AG</t>
        </is>
      </c>
      <c r="B22" s="8" t="n">
        <v>18</v>
      </c>
      <c r="C22" s="8" t="inlineStr">
        <is>
          <t>PQ12</t>
        </is>
      </c>
      <c r="D22" s="8" t="inlineStr">
        <is>
          <t>PROCESSI</t>
        </is>
      </c>
      <c r="E22" s="8" t="inlineStr">
        <is>
          <t>PROCESSI OPERATIVI E ACCESSIBILITÀ</t>
        </is>
      </c>
      <c r="F22" s="8" t="inlineStr">
        <is>
          <t>E1/ND</t>
        </is>
      </c>
      <c r="G22" s="8" t="inlineStr">
        <is>
          <t>E</t>
        </is>
      </c>
      <c r="H22" s="8" t="inlineStr">
        <is>
          <t>ND</t>
        </is>
      </c>
      <c r="I22" s="8">
        <f>IF(G22="","",IFERROR(VLOOKUP(G22,'Note e assunzioni'!$A$23:$B$32,2,FALSE),"Codice non mappato"))</f>
        <v/>
      </c>
      <c r="J22" s="8">
        <f>IF(Q22="Sì",IF(H22="",1,0.7),0)</f>
        <v/>
      </c>
      <c r="K22" s="8">
        <f>IF(H22="","",IFERROR(VLOOKUP(H22,'Note e assunzioni'!$A$23:$B$32,2,FALSE),"Codice non mappato"))</f>
        <v/>
      </c>
      <c r="L22" s="8">
        <f>IF(Q22="Sì",IF(H22="",0,0.3),0)</f>
        <v/>
      </c>
      <c r="M22" s="8" t="n">
        <v>3</v>
      </c>
      <c r="N22" s="8" t="n">
        <v>2</v>
      </c>
      <c r="O22" s="8">
        <f>IF('Input survey A'!$B$7="PMI",IF(M22="","",M22),IF(N22="","",N22))</f>
        <v/>
      </c>
      <c r="P22" s="8">
        <f>IFERROR(INDEX('Input survey A'!$C$12:$C$67,MATCH(C22,'Input survey A'!$A$12:$A$67,0)),"")</f>
        <v/>
      </c>
      <c r="Q22" s="8">
        <f>IF(F22="MAT","No",IF(G22="","No",IF(O22="","No",IF(OR(NOT(ISNUMBER(P22)),P22&lt;1,P22&gt;4),"No","Sì"))))</f>
        <v/>
      </c>
      <c r="R22" s="8">
        <f>IF(F22="MAT","MAT - esclusa dal calcolo matrice",IF(G22="","Cod. 1 assente",IF(O22="","Peso assente/non numerico",IF(NOT(ISNUMBER(P22)),"Risposta assente/non numerica",IF(OR(P22&lt;1,P22&gt;4),"Risposta fuori scala","Inclusa")))))</f>
        <v/>
      </c>
      <c r="S22" s="9">
        <f>IF(Q22="Sì",P22*O22*J22,0)</f>
        <v/>
      </c>
      <c r="T22" s="9">
        <f>IF(Q22="Sì",O22*J22,0)</f>
        <v/>
      </c>
      <c r="U22" s="9">
        <f>IF(Q22="Sì",P22*O22*L22,0)</f>
        <v/>
      </c>
      <c r="V22" s="9">
        <f>IF(Q22="Sì",O22*L22,0)</f>
        <v/>
      </c>
    </row>
    <row r="23">
      <c r="A23" s="8" t="inlineStr">
        <is>
          <t>AH</t>
        </is>
      </c>
      <c r="B23" s="8" t="n">
        <v>19</v>
      </c>
      <c r="C23" s="8" t="inlineStr">
        <is>
          <t>SQ1</t>
        </is>
      </c>
      <c r="D23" s="8" t="inlineStr">
        <is>
          <t>STRATEGIA</t>
        </is>
      </c>
      <c r="E23" s="8" t="inlineStr">
        <is>
          <t>STRATEGIA E PIANIFICAZIONE</t>
        </is>
      </c>
      <c r="F23" s="8" t="inlineStr">
        <is>
          <t>F</t>
        </is>
      </c>
      <c r="G23" s="8" t="inlineStr">
        <is>
          <t>F</t>
        </is>
      </c>
      <c r="H23" s="8" t="inlineStr"/>
      <c r="I23" s="8">
        <f>IF(G23="","",IFERROR(VLOOKUP(G23,'Note e assunzioni'!$A$23:$B$32,2,FALSE),"Codice non mappato"))</f>
        <v/>
      </c>
      <c r="J23" s="8">
        <f>IF(Q23="Sì",IF(H23="",1,0.7),0)</f>
        <v/>
      </c>
      <c r="K23" s="8">
        <f>IF(H23="","",IFERROR(VLOOKUP(H23,'Note e assunzioni'!$A$23:$B$32,2,FALSE),"Codice non mappato"))</f>
        <v/>
      </c>
      <c r="L23" s="8">
        <f>IF(Q23="Sì",IF(H23="",0,0.3),0)</f>
        <v/>
      </c>
      <c r="M23" s="8" t="n">
        <v>1.5</v>
      </c>
      <c r="N23" s="8" t="n">
        <v>1</v>
      </c>
      <c r="O23" s="8">
        <f>IF('Input survey A'!$B$7="PMI",IF(M23="","",M23),IF(N23="","",N23))</f>
        <v/>
      </c>
      <c r="P23" s="8">
        <f>IFERROR(INDEX('Input survey A'!$C$12:$C$67,MATCH(C23,'Input survey A'!$A$12:$A$67,0)),"")</f>
        <v/>
      </c>
      <c r="Q23" s="8">
        <f>IF(F23="MAT","No",IF(G23="","No",IF(O23="","No",IF(OR(NOT(ISNUMBER(P23)),P23&lt;1,P23&gt;4),"No","Sì"))))</f>
        <v/>
      </c>
      <c r="R23" s="8">
        <f>IF(F23="MAT","MAT - esclusa dal calcolo matrice",IF(G23="","Cod. 1 assente",IF(O23="","Peso assente/non numerico",IF(NOT(ISNUMBER(P23)),"Risposta assente/non numerica",IF(OR(P23&lt;1,P23&gt;4),"Risposta fuori scala","Inclusa")))))</f>
        <v/>
      </c>
      <c r="S23" s="9">
        <f>IF(Q23="Sì",P23*O23*J23,0)</f>
        <v/>
      </c>
      <c r="T23" s="9">
        <f>IF(Q23="Sì",O23*J23,0)</f>
        <v/>
      </c>
      <c r="U23" s="9">
        <f>IF(Q23="Sì",P23*O23*L23,0)</f>
        <v/>
      </c>
      <c r="V23" s="9">
        <f>IF(Q23="Sì",O23*L23,0)</f>
        <v/>
      </c>
    </row>
    <row r="24">
      <c r="A24" s="8" t="inlineStr">
        <is>
          <t>AI</t>
        </is>
      </c>
      <c r="B24" s="8" t="n">
        <v>20</v>
      </c>
      <c r="C24" s="8" t="inlineStr">
        <is>
          <t>PQ13</t>
        </is>
      </c>
      <c r="D24" s="8" t="inlineStr">
        <is>
          <t>PROCESSI</t>
        </is>
      </c>
      <c r="E24" s="8" t="inlineStr">
        <is>
          <t>PROCESSI OPERATIVI E ACCESSIBILITÀ</t>
        </is>
      </c>
      <c r="F24" s="8" t="inlineStr">
        <is>
          <t>E1</t>
        </is>
      </c>
      <c r="G24" s="8" t="inlineStr">
        <is>
          <t>E</t>
        </is>
      </c>
      <c r="H24" s="8" t="inlineStr"/>
      <c r="I24" s="8">
        <f>IF(G24="","",IFERROR(VLOOKUP(G24,'Note e assunzioni'!$A$23:$B$32,2,FALSE),"Codice non mappato"))</f>
        <v/>
      </c>
      <c r="J24" s="8">
        <f>IF(Q24="Sì",IF(H24="",1,0.7),0)</f>
        <v/>
      </c>
      <c r="K24" s="8">
        <f>IF(H24="","",IFERROR(VLOOKUP(H24,'Note e assunzioni'!$A$23:$B$32,2,FALSE),"Codice non mappato"))</f>
        <v/>
      </c>
      <c r="L24" s="8">
        <f>IF(Q24="Sì",IF(H24="",0,0.3),0)</f>
        <v/>
      </c>
      <c r="M24" s="8" t="n">
        <v>1.5</v>
      </c>
      <c r="N24" s="8" t="n">
        <v>1</v>
      </c>
      <c r="O24" s="8">
        <f>IF('Input survey A'!$B$7="PMI",IF(M24="","",M24),IF(N24="","",N24))</f>
        <v/>
      </c>
      <c r="P24" s="8">
        <f>IFERROR(INDEX('Input survey A'!$C$12:$C$67,MATCH(C24,'Input survey A'!$A$12:$A$67,0)),"")</f>
        <v/>
      </c>
      <c r="Q24" s="8">
        <f>IF(F24="MAT","No",IF(G24="","No",IF(O24="","No",IF(OR(NOT(ISNUMBER(P24)),P24&lt;1,P24&gt;4),"No","Sì"))))</f>
        <v/>
      </c>
      <c r="R24" s="8">
        <f>IF(F24="MAT","MAT - esclusa dal calcolo matrice",IF(G24="","Cod. 1 assente",IF(O24="","Peso assente/non numerico",IF(NOT(ISNUMBER(P24)),"Risposta assente/non numerica",IF(OR(P24&lt;1,P24&gt;4),"Risposta fuori scala","Inclusa")))))</f>
        <v/>
      </c>
      <c r="S24" s="9">
        <f>IF(Q24="Sì",P24*O24*J24,0)</f>
        <v/>
      </c>
      <c r="T24" s="9">
        <f>IF(Q24="Sì",O24*J24,0)</f>
        <v/>
      </c>
      <c r="U24" s="9">
        <f>IF(Q24="Sì",P24*O24*L24,0)</f>
        <v/>
      </c>
      <c r="V24" s="9">
        <f>IF(Q24="Sì",O24*L24,0)</f>
        <v/>
      </c>
    </row>
    <row r="25">
      <c r="A25" s="8" t="inlineStr">
        <is>
          <t>AJ</t>
        </is>
      </c>
      <c r="B25" s="8" t="n">
        <v>21</v>
      </c>
      <c r="C25" s="8" t="inlineStr">
        <is>
          <t>PQ14</t>
        </is>
      </c>
      <c r="D25" s="8" t="inlineStr">
        <is>
          <t>PROCESSI</t>
        </is>
      </c>
      <c r="E25" s="8" t="inlineStr">
        <is>
          <t>PROCESSI OPERATIVI E ACCESSIBILITÀ</t>
        </is>
      </c>
      <c r="F25" s="8" t="inlineStr">
        <is>
          <t>E1</t>
        </is>
      </c>
      <c r="G25" s="8" t="inlineStr">
        <is>
          <t>E</t>
        </is>
      </c>
      <c r="H25" s="8" t="inlineStr"/>
      <c r="I25" s="8">
        <f>IF(G25="","",IFERROR(VLOOKUP(G25,'Note e assunzioni'!$A$23:$B$32,2,FALSE),"Codice non mappato"))</f>
        <v/>
      </c>
      <c r="J25" s="8">
        <f>IF(Q25="Sì",IF(H25="",1,0.7),0)</f>
        <v/>
      </c>
      <c r="K25" s="8">
        <f>IF(H25="","",IFERROR(VLOOKUP(H25,'Note e assunzioni'!$A$23:$B$32,2,FALSE),"Codice non mappato"))</f>
        <v/>
      </c>
      <c r="L25" s="8">
        <f>IF(Q25="Sì",IF(H25="",0,0.3),0)</f>
        <v/>
      </c>
      <c r="M25" s="8" t="n">
        <v>1.5</v>
      </c>
      <c r="N25" s="8" t="n">
        <v>1</v>
      </c>
      <c r="O25" s="8">
        <f>IF('Input survey A'!$B$7="PMI",IF(M25="","",M25),IF(N25="","",N25))</f>
        <v/>
      </c>
      <c r="P25" s="8">
        <f>IFERROR(INDEX('Input survey A'!$C$12:$C$67,MATCH(C25,'Input survey A'!$A$12:$A$67,0)),"")</f>
        <v/>
      </c>
      <c r="Q25" s="8">
        <f>IF(F25="MAT","No",IF(G25="","No",IF(O25="","No",IF(OR(NOT(ISNUMBER(P25)),P25&lt;1,P25&gt;4),"No","Sì"))))</f>
        <v/>
      </c>
      <c r="R25" s="8">
        <f>IF(F25="MAT","MAT - esclusa dal calcolo matrice",IF(G25="","Cod. 1 assente",IF(O25="","Peso assente/non numerico",IF(NOT(ISNUMBER(P25)),"Risposta assente/non numerica",IF(OR(P25&lt;1,P25&gt;4),"Risposta fuori scala","Inclusa")))))</f>
        <v/>
      </c>
      <c r="S25" s="9">
        <f>IF(Q25="Sì",P25*O25*J25,0)</f>
        <v/>
      </c>
      <c r="T25" s="9">
        <f>IF(Q25="Sì",O25*J25,0)</f>
        <v/>
      </c>
      <c r="U25" s="9">
        <f>IF(Q25="Sì",P25*O25*L25,0)</f>
        <v/>
      </c>
      <c r="V25" s="9">
        <f>IF(Q25="Sì",O25*L25,0)</f>
        <v/>
      </c>
    </row>
    <row r="26">
      <c r="A26" s="8" t="inlineStr">
        <is>
          <t>AK</t>
        </is>
      </c>
      <c r="B26" s="8" t="n">
        <v>22</v>
      </c>
      <c r="C26" s="8" t="inlineStr">
        <is>
          <t>PQ15</t>
        </is>
      </c>
      <c r="D26" s="8" t="inlineStr">
        <is>
          <t>PROCESSI</t>
        </is>
      </c>
      <c r="E26" s="8" t="inlineStr">
        <is>
          <t>PROCESSI OPERATIVI E ACCESSIBILITÀ</t>
        </is>
      </c>
      <c r="F26" s="8" t="inlineStr">
        <is>
          <t>E1</t>
        </is>
      </c>
      <c r="G26" s="8" t="inlineStr">
        <is>
          <t>E</t>
        </is>
      </c>
      <c r="H26" s="8" t="inlineStr"/>
      <c r="I26" s="8">
        <f>IF(G26="","",IFERROR(VLOOKUP(G26,'Note e assunzioni'!$A$23:$B$32,2,FALSE),"Codice non mappato"))</f>
        <v/>
      </c>
      <c r="J26" s="8">
        <f>IF(Q26="Sì",IF(H26="",1,0.7),0)</f>
        <v/>
      </c>
      <c r="K26" s="8">
        <f>IF(H26="","",IFERROR(VLOOKUP(H26,'Note e assunzioni'!$A$23:$B$32,2,FALSE),"Codice non mappato"))</f>
        <v/>
      </c>
      <c r="L26" s="8">
        <f>IF(Q26="Sì",IF(H26="",0,0.3),0)</f>
        <v/>
      </c>
      <c r="M26" s="8" t="n">
        <v>1.5</v>
      </c>
      <c r="N26" s="8" t="n">
        <v>1</v>
      </c>
      <c r="O26" s="8">
        <f>IF('Input survey A'!$B$7="PMI",IF(M26="","",M26),IF(N26="","",N26))</f>
        <v/>
      </c>
      <c r="P26" s="8">
        <f>IFERROR(INDEX('Input survey A'!$C$12:$C$67,MATCH(C26,'Input survey A'!$A$12:$A$67,0)),"")</f>
        <v/>
      </c>
      <c r="Q26" s="8">
        <f>IF(F26="MAT","No",IF(G26="","No",IF(O26="","No",IF(OR(NOT(ISNUMBER(P26)),P26&lt;1,P26&gt;4),"No","Sì"))))</f>
        <v/>
      </c>
      <c r="R26" s="8">
        <f>IF(F26="MAT","MAT - esclusa dal calcolo matrice",IF(G26="","Cod. 1 assente",IF(O26="","Peso assente/non numerico",IF(NOT(ISNUMBER(P26)),"Risposta assente/non numerica",IF(OR(P26&lt;1,P26&gt;4),"Risposta fuori scala","Inclusa")))))</f>
        <v/>
      </c>
      <c r="S26" s="9">
        <f>IF(Q26="Sì",P26*O26*J26,0)</f>
        <v/>
      </c>
      <c r="T26" s="9">
        <f>IF(Q26="Sì",O26*J26,0)</f>
        <v/>
      </c>
      <c r="U26" s="9">
        <f>IF(Q26="Sì",P26*O26*L26,0)</f>
        <v/>
      </c>
      <c r="V26" s="9">
        <f>IF(Q26="Sì",O26*L26,0)</f>
        <v/>
      </c>
    </row>
    <row r="27">
      <c r="A27" s="8" t="inlineStr">
        <is>
          <t>AL</t>
        </is>
      </c>
      <c r="B27" s="8" t="n">
        <v>23</v>
      </c>
      <c r="C27" s="8" t="inlineStr">
        <is>
          <t>PQ16</t>
        </is>
      </c>
      <c r="D27" s="8" t="inlineStr">
        <is>
          <t>PROCESSI</t>
        </is>
      </c>
      <c r="E27" s="8" t="inlineStr">
        <is>
          <t>PROCESSI OPERATIVI E ACCESSIBILITÀ</t>
        </is>
      </c>
      <c r="F27" s="8" t="inlineStr">
        <is>
          <t>ND</t>
        </is>
      </c>
      <c r="G27" s="8" t="inlineStr">
        <is>
          <t>ND</t>
        </is>
      </c>
      <c r="H27" s="8" t="inlineStr"/>
      <c r="I27" s="8">
        <f>IF(G27="","",IFERROR(VLOOKUP(G27,'Note e assunzioni'!$A$23:$B$32,2,FALSE),"Codice non mappato"))</f>
        <v/>
      </c>
      <c r="J27" s="8">
        <f>IF(Q27="Sì",IF(H27="",1,0.7),0)</f>
        <v/>
      </c>
      <c r="K27" s="8">
        <f>IF(H27="","",IFERROR(VLOOKUP(H27,'Note e assunzioni'!$A$23:$B$32,2,FALSE),"Codice non mappato"))</f>
        <v/>
      </c>
      <c r="L27" s="8">
        <f>IF(Q27="Sì",IF(H27="",0,0.3),0)</f>
        <v/>
      </c>
      <c r="M27" s="8" t="n">
        <v>3</v>
      </c>
      <c r="N27" s="8" t="n">
        <v>2</v>
      </c>
      <c r="O27" s="8">
        <f>IF('Input survey A'!$B$7="PMI",IF(M27="","",M27),IF(N27="","",N27))</f>
        <v/>
      </c>
      <c r="P27" s="8">
        <f>IFERROR(INDEX('Input survey A'!$C$12:$C$67,MATCH(C27,'Input survey A'!$A$12:$A$67,0)),"")</f>
        <v/>
      </c>
      <c r="Q27" s="8">
        <f>IF(F27="MAT","No",IF(G27="","No",IF(O27="","No",IF(OR(NOT(ISNUMBER(P27)),P27&lt;1,P27&gt;4),"No","Sì"))))</f>
        <v/>
      </c>
      <c r="R27" s="8">
        <f>IF(F27="MAT","MAT - esclusa dal calcolo matrice",IF(G27="","Cod. 1 assente",IF(O27="","Peso assente/non numerico",IF(NOT(ISNUMBER(P27)),"Risposta assente/non numerica",IF(OR(P27&lt;1,P27&gt;4),"Risposta fuori scala","Inclusa")))))</f>
        <v/>
      </c>
      <c r="S27" s="9">
        <f>IF(Q27="Sì",P27*O27*J27,0)</f>
        <v/>
      </c>
      <c r="T27" s="9">
        <f>IF(Q27="Sì",O27*J27,0)</f>
        <v/>
      </c>
      <c r="U27" s="9">
        <f>IF(Q27="Sì",P27*O27*L27,0)</f>
        <v/>
      </c>
      <c r="V27" s="9">
        <f>IF(Q27="Sì",O27*L27,0)</f>
        <v/>
      </c>
    </row>
    <row r="28">
      <c r="A28" s="8" t="inlineStr">
        <is>
          <t>AM</t>
        </is>
      </c>
      <c r="B28" s="8" t="n">
        <v>24</v>
      </c>
      <c r="C28" s="8" t="inlineStr">
        <is>
          <t>SQ2</t>
        </is>
      </c>
      <c r="D28" s="8" t="inlineStr">
        <is>
          <t>STRATEGIA</t>
        </is>
      </c>
      <c r="E28" s="8" t="inlineStr">
        <is>
          <t>GOVERNANCE E LEADERSHIP</t>
        </is>
      </c>
      <c r="F28" s="8" t="inlineStr">
        <is>
          <t>F</t>
        </is>
      </c>
      <c r="G28" s="8" t="inlineStr">
        <is>
          <t>F</t>
        </is>
      </c>
      <c r="H28" s="8" t="inlineStr"/>
      <c r="I28" s="8">
        <f>IF(G28="","",IFERROR(VLOOKUP(G28,'Note e assunzioni'!$A$23:$B$32,2,FALSE),"Codice non mappato"))</f>
        <v/>
      </c>
      <c r="J28" s="8">
        <f>IF(Q28="Sì",IF(H28="",1,0.7),0)</f>
        <v/>
      </c>
      <c r="K28" s="8">
        <f>IF(H28="","",IFERROR(VLOOKUP(H28,'Note e assunzioni'!$A$23:$B$32,2,FALSE),"Codice non mappato"))</f>
        <v/>
      </c>
      <c r="L28" s="8">
        <f>IF(Q28="Sì",IF(H28="",0,0.3),0)</f>
        <v/>
      </c>
      <c r="M28" s="8" t="n">
        <v>2</v>
      </c>
      <c r="N28" s="8" t="n">
        <v>1</v>
      </c>
      <c r="O28" s="8">
        <f>IF('Input survey A'!$B$7="PMI",IF(M28="","",M28),IF(N28="","",N28))</f>
        <v/>
      </c>
      <c r="P28" s="8">
        <f>IFERROR(INDEX('Input survey A'!$C$12:$C$67,MATCH(C28,'Input survey A'!$A$12:$A$67,0)),"")</f>
        <v/>
      </c>
      <c r="Q28" s="8">
        <f>IF(F28="MAT","No",IF(G28="","No",IF(O28="","No",IF(OR(NOT(ISNUMBER(P28)),P28&lt;1,P28&gt;4),"No","Sì"))))</f>
        <v/>
      </c>
      <c r="R28" s="8">
        <f>IF(F28="MAT","MAT - esclusa dal calcolo matrice",IF(G28="","Cod. 1 assente",IF(O28="","Peso assente/non numerico",IF(NOT(ISNUMBER(P28)),"Risposta assente/non numerica",IF(OR(P28&lt;1,P28&gt;4),"Risposta fuori scala","Inclusa")))))</f>
        <v/>
      </c>
      <c r="S28" s="9">
        <f>IF(Q28="Sì",P28*O28*J28,0)</f>
        <v/>
      </c>
      <c r="T28" s="9">
        <f>IF(Q28="Sì",O28*J28,0)</f>
        <v/>
      </c>
      <c r="U28" s="9">
        <f>IF(Q28="Sì",P28*O28*L28,0)</f>
        <v/>
      </c>
      <c r="V28" s="9">
        <f>IF(Q28="Sì",O28*L28,0)</f>
        <v/>
      </c>
    </row>
    <row r="29">
      <c r="A29" s="8" t="inlineStr">
        <is>
          <t>AN</t>
        </is>
      </c>
      <c r="B29" s="8" t="n">
        <v>25</v>
      </c>
      <c r="C29" s="8" t="inlineStr">
        <is>
          <t>SQ3</t>
        </is>
      </c>
      <c r="D29" s="8" t="inlineStr">
        <is>
          <t>STRATEGIA</t>
        </is>
      </c>
      <c r="E29" s="8" t="inlineStr">
        <is>
          <t>GOVERNANCE E LEADERSHIP</t>
        </is>
      </c>
      <c r="F29" s="8" t="inlineStr">
        <is>
          <t>ET2/F</t>
        </is>
      </c>
      <c r="G29" s="8" t="inlineStr">
        <is>
          <t>ET</t>
        </is>
      </c>
      <c r="H29" s="8" t="inlineStr">
        <is>
          <t>F</t>
        </is>
      </c>
      <c r="I29" s="8">
        <f>IF(G29="","",IFERROR(VLOOKUP(G29,'Note e assunzioni'!$A$23:$B$32,2,FALSE),"Codice non mappato"))</f>
        <v/>
      </c>
      <c r="J29" s="8">
        <f>IF(Q29="Sì",IF(H29="",1,0.7),0)</f>
        <v/>
      </c>
      <c r="K29" s="8">
        <f>IF(H29="","",IFERROR(VLOOKUP(H29,'Note e assunzioni'!$A$23:$B$32,2,FALSE),"Codice non mappato"))</f>
        <v/>
      </c>
      <c r="L29" s="8">
        <f>IF(Q29="Sì",IF(H29="",0,0.3),0)</f>
        <v/>
      </c>
      <c r="M29" s="8" t="n">
        <v>3</v>
      </c>
      <c r="N29" s="8" t="n">
        <v>1.5</v>
      </c>
      <c r="O29" s="8">
        <f>IF('Input survey A'!$B$7="PMI",IF(M29="","",M29),IF(N29="","",N29))</f>
        <v/>
      </c>
      <c r="P29" s="8">
        <f>IFERROR(INDEX('Input survey A'!$C$12:$C$67,MATCH(C29,'Input survey A'!$A$12:$A$67,0)),"")</f>
        <v/>
      </c>
      <c r="Q29" s="8">
        <f>IF(F29="MAT","No",IF(G29="","No",IF(O29="","No",IF(OR(NOT(ISNUMBER(P29)),P29&lt;1,P29&gt;4),"No","Sì"))))</f>
        <v/>
      </c>
      <c r="R29" s="8">
        <f>IF(F29="MAT","MAT - esclusa dal calcolo matrice",IF(G29="","Cod. 1 assente",IF(O29="","Peso assente/non numerico",IF(NOT(ISNUMBER(P29)),"Risposta assente/non numerica",IF(OR(P29&lt;1,P29&gt;4),"Risposta fuori scala","Inclusa")))))</f>
        <v/>
      </c>
      <c r="S29" s="9">
        <f>IF(Q29="Sì",P29*O29*J29,0)</f>
        <v/>
      </c>
      <c r="T29" s="9">
        <f>IF(Q29="Sì",O29*J29,0)</f>
        <v/>
      </c>
      <c r="U29" s="9">
        <f>IF(Q29="Sì",P29*O29*L29,0)</f>
        <v/>
      </c>
      <c r="V29" s="9">
        <f>IF(Q29="Sì",O29*L29,0)</f>
        <v/>
      </c>
    </row>
    <row r="30">
      <c r="A30" s="8" t="inlineStr">
        <is>
          <t>AO</t>
        </is>
      </c>
      <c r="B30" s="8" t="n">
        <v>26</v>
      </c>
      <c r="C30" s="8" t="inlineStr">
        <is>
          <t>SQ4</t>
        </is>
      </c>
      <c r="D30" s="8" t="inlineStr">
        <is>
          <t>STRATEGIA</t>
        </is>
      </c>
      <c r="E30" s="8" t="inlineStr">
        <is>
          <t>GOVERNANCE E LEADERSHIP</t>
        </is>
      </c>
      <c r="F30" s="8" t="inlineStr">
        <is>
          <t>MAT</t>
        </is>
      </c>
      <c r="G30" s="8" t="inlineStr"/>
      <c r="H30" s="8" t="inlineStr"/>
      <c r="I30" s="8">
        <f>IF(G30="","",IFERROR(VLOOKUP(G30,'Note e assunzioni'!$A$23:$B$32,2,FALSE),"Codice non mappato"))</f>
        <v/>
      </c>
      <c r="J30" s="8">
        <f>IF(Q30="Sì",IF(H30="",1,0.7),0)</f>
        <v/>
      </c>
      <c r="K30" s="8">
        <f>IF(H30="","",IFERROR(VLOOKUP(H30,'Note e assunzioni'!$A$23:$B$32,2,FALSE),"Codice non mappato"))</f>
        <v/>
      </c>
      <c r="L30" s="8">
        <f>IF(Q30="Sì",IF(H30="",0,0.3),0)</f>
        <v/>
      </c>
      <c r="M30" s="8" t="n">
        <v>1.5</v>
      </c>
      <c r="N30" s="8" t="n">
        <v>1</v>
      </c>
      <c r="O30" s="8">
        <f>IF('Input survey A'!$B$7="PMI",IF(M30="","",M30),IF(N30="","",N30))</f>
        <v/>
      </c>
      <c r="P30" s="8">
        <f>IFERROR(INDEX('Input survey A'!$C$12:$C$67,MATCH(C30,'Input survey A'!$A$12:$A$67,0)),"")</f>
        <v/>
      </c>
      <c r="Q30" s="8">
        <f>IF(F30="MAT","No",IF(G30="","No",IF(O30="","No",IF(OR(NOT(ISNUMBER(P30)),P30&lt;1,P30&gt;4),"No","Sì"))))</f>
        <v/>
      </c>
      <c r="R30" s="8">
        <f>IF(F30="MAT","MAT - esclusa dal calcolo matrice",IF(G30="","Cod. 1 assente",IF(O30="","Peso assente/non numerico",IF(NOT(ISNUMBER(P30)),"Risposta assente/non numerica",IF(OR(P30&lt;1,P30&gt;4),"Risposta fuori scala","Inclusa")))))</f>
        <v/>
      </c>
      <c r="S30" s="9">
        <f>IF(Q30="Sì",P30*O30*J30,0)</f>
        <v/>
      </c>
      <c r="T30" s="9">
        <f>IF(Q30="Sì",O30*J30,0)</f>
        <v/>
      </c>
      <c r="U30" s="9">
        <f>IF(Q30="Sì",P30*O30*L30,0)</f>
        <v/>
      </c>
      <c r="V30" s="9">
        <f>IF(Q30="Sì",O30*L30,0)</f>
        <v/>
      </c>
    </row>
    <row r="31">
      <c r="A31" s="8" t="inlineStr">
        <is>
          <t>AP</t>
        </is>
      </c>
      <c r="B31" s="8" t="n">
        <v>27</v>
      </c>
      <c r="C31" s="8" t="inlineStr">
        <is>
          <t>SQ5</t>
        </is>
      </c>
      <c r="D31" s="8" t="inlineStr">
        <is>
          <t>STRATEGIA</t>
        </is>
      </c>
      <c r="E31" s="8" t="inlineStr">
        <is>
          <t>GOVERNANCE E LEADERSHIP</t>
        </is>
      </c>
      <c r="F31" s="8" t="inlineStr">
        <is>
          <t>M/F</t>
        </is>
      </c>
      <c r="G31" s="8" t="inlineStr">
        <is>
          <t>M</t>
        </is>
      </c>
      <c r="H31" s="8" t="inlineStr">
        <is>
          <t>F</t>
        </is>
      </c>
      <c r="I31" s="8">
        <f>IF(G31="","",IFERROR(VLOOKUP(G31,'Note e assunzioni'!$A$23:$B$32,2,FALSE),"Codice non mappato"))</f>
        <v/>
      </c>
      <c r="J31" s="8">
        <f>IF(Q31="Sì",IF(H31="",1,0.7),0)</f>
        <v/>
      </c>
      <c r="K31" s="8">
        <f>IF(H31="","",IFERROR(VLOOKUP(H31,'Note e assunzioni'!$A$23:$B$32,2,FALSE),"Codice non mappato"))</f>
        <v/>
      </c>
      <c r="L31" s="8">
        <f>IF(Q31="Sì",IF(H31="",0,0.3),0)</f>
        <v/>
      </c>
      <c r="M31" s="8" t="n">
        <v>3</v>
      </c>
      <c r="N31" s="8" t="n">
        <v>1.5</v>
      </c>
      <c r="O31" s="8">
        <f>IF('Input survey A'!$B$7="PMI",IF(M31="","",M31),IF(N31="","",N31))</f>
        <v/>
      </c>
      <c r="P31" s="8">
        <f>IFERROR(INDEX('Input survey A'!$C$12:$C$67,MATCH(C31,'Input survey A'!$A$12:$A$67,0)),"")</f>
        <v/>
      </c>
      <c r="Q31" s="8">
        <f>IF(F31="MAT","No",IF(G31="","No",IF(O31="","No",IF(OR(NOT(ISNUMBER(P31)),P31&lt;1,P31&gt;4),"No","Sì"))))</f>
        <v/>
      </c>
      <c r="R31" s="8">
        <f>IF(F31="MAT","MAT - esclusa dal calcolo matrice",IF(G31="","Cod. 1 assente",IF(O31="","Peso assente/non numerico",IF(NOT(ISNUMBER(P31)),"Risposta assente/non numerica",IF(OR(P31&lt;1,P31&gt;4),"Risposta fuori scala","Inclusa")))))</f>
        <v/>
      </c>
      <c r="S31" s="9">
        <f>IF(Q31="Sì",P31*O31*J31,0)</f>
        <v/>
      </c>
      <c r="T31" s="9">
        <f>IF(Q31="Sì",O31*J31,0)</f>
        <v/>
      </c>
      <c r="U31" s="9">
        <f>IF(Q31="Sì",P31*O31*L31,0)</f>
        <v/>
      </c>
      <c r="V31" s="9">
        <f>IF(Q31="Sì",O31*L31,0)</f>
        <v/>
      </c>
    </row>
    <row r="32">
      <c r="A32" s="8" t="inlineStr">
        <is>
          <t>AQ</t>
        </is>
      </c>
      <c r="B32" s="8" t="n">
        <v>28</v>
      </c>
      <c r="C32" s="8" t="inlineStr">
        <is>
          <t>SQ6</t>
        </is>
      </c>
      <c r="D32" s="8" t="inlineStr">
        <is>
          <t>STRATEGIA</t>
        </is>
      </c>
      <c r="E32" s="8" t="inlineStr">
        <is>
          <t>GOVERNANCE E LEADERSHIP</t>
        </is>
      </c>
      <c r="F32" s="8" t="inlineStr">
        <is>
          <t>F</t>
        </is>
      </c>
      <c r="G32" s="8" t="inlineStr">
        <is>
          <t>F</t>
        </is>
      </c>
      <c r="H32" s="8" t="inlineStr"/>
      <c r="I32" s="8">
        <f>IF(G32="","",IFERROR(VLOOKUP(G32,'Note e assunzioni'!$A$23:$B$32,2,FALSE),"Codice non mappato"))</f>
        <v/>
      </c>
      <c r="J32" s="8">
        <f>IF(Q32="Sì",IF(H32="",1,0.7),0)</f>
        <v/>
      </c>
      <c r="K32" s="8">
        <f>IF(H32="","",IFERROR(VLOOKUP(H32,'Note e assunzioni'!$A$23:$B$32,2,FALSE),"Codice non mappato"))</f>
        <v/>
      </c>
      <c r="L32" s="8">
        <f>IF(Q32="Sì",IF(H32="",0,0.3),0)</f>
        <v/>
      </c>
      <c r="M32" s="8" t="n">
        <v>2.5</v>
      </c>
      <c r="N32" s="8" t="n">
        <v>1.5</v>
      </c>
      <c r="O32" s="8">
        <f>IF('Input survey A'!$B$7="PMI",IF(M32="","",M32),IF(N32="","",N32))</f>
        <v/>
      </c>
      <c r="P32" s="8">
        <f>IFERROR(INDEX('Input survey A'!$C$12:$C$67,MATCH(C32,'Input survey A'!$A$12:$A$67,0)),"")</f>
        <v/>
      </c>
      <c r="Q32" s="8">
        <f>IF(F32="MAT","No",IF(G32="","No",IF(O32="","No",IF(OR(NOT(ISNUMBER(P32)),P32&lt;1,P32&gt;4),"No","Sì"))))</f>
        <v/>
      </c>
      <c r="R32" s="8">
        <f>IF(F32="MAT","MAT - esclusa dal calcolo matrice",IF(G32="","Cod. 1 assente",IF(O32="","Peso assente/non numerico",IF(NOT(ISNUMBER(P32)),"Risposta assente/non numerica",IF(OR(P32&lt;1,P32&gt;4),"Risposta fuori scala","Inclusa")))))</f>
        <v/>
      </c>
      <c r="S32" s="9">
        <f>IF(Q32="Sì",P32*O32*J32,0)</f>
        <v/>
      </c>
      <c r="T32" s="9">
        <f>IF(Q32="Sì",O32*J32,0)</f>
        <v/>
      </c>
      <c r="U32" s="9">
        <f>IF(Q32="Sì",P32*O32*L32,0)</f>
        <v/>
      </c>
      <c r="V32" s="9">
        <f>IF(Q32="Sì",O32*L32,0)</f>
        <v/>
      </c>
    </row>
    <row r="33">
      <c r="A33" s="8" t="inlineStr">
        <is>
          <t>AR</t>
        </is>
      </c>
      <c r="B33" s="8" t="n">
        <v>29</v>
      </c>
      <c r="C33" s="8" t="inlineStr">
        <is>
          <t>MQ1</t>
        </is>
      </c>
      <c r="D33" s="8" t="inlineStr">
        <is>
          <t>MERCATO</t>
        </is>
      </c>
      <c r="E33" s="8" t="inlineStr">
        <is>
          <t>BRAND, COMUNICAZIONE E RAPPRESENTAZIONE</t>
        </is>
      </c>
      <c r="F33" s="8" t="inlineStr">
        <is>
          <t>M</t>
        </is>
      </c>
      <c r="G33" s="8" t="inlineStr">
        <is>
          <t>M</t>
        </is>
      </c>
      <c r="H33" s="8" t="inlineStr"/>
      <c r="I33" s="8">
        <f>IF(G33="","",IFERROR(VLOOKUP(G33,'Note e assunzioni'!$A$23:$B$32,2,FALSE),"Codice non mappato"))</f>
        <v/>
      </c>
      <c r="J33" s="8">
        <f>IF(Q33="Sì",IF(H33="",1,0.7),0)</f>
        <v/>
      </c>
      <c r="K33" s="8">
        <f>IF(H33="","",IFERROR(VLOOKUP(H33,'Note e assunzioni'!$A$23:$B$32,2,FALSE),"Codice non mappato"))</f>
        <v/>
      </c>
      <c r="L33" s="8">
        <f>IF(Q33="Sì",IF(H33="",0,0.3),0)</f>
        <v/>
      </c>
      <c r="M33" s="8" t="n">
        <v>3</v>
      </c>
      <c r="N33" s="8" t="n">
        <v>1.5</v>
      </c>
      <c r="O33" s="8">
        <f>IF('Input survey A'!$B$7="PMI",IF(M33="","",M33),IF(N33="","",N33))</f>
        <v/>
      </c>
      <c r="P33" s="8">
        <f>IFERROR(INDEX('Input survey A'!$C$12:$C$67,MATCH(C33,'Input survey A'!$A$12:$A$67,0)),"")</f>
        <v/>
      </c>
      <c r="Q33" s="8">
        <f>IF(F33="MAT","No",IF(G33="","No",IF(O33="","No",IF(OR(NOT(ISNUMBER(P33)),P33&lt;1,P33&gt;4),"No","Sì"))))</f>
        <v/>
      </c>
      <c r="R33" s="8">
        <f>IF(F33="MAT","MAT - esclusa dal calcolo matrice",IF(G33="","Cod. 1 assente",IF(O33="","Peso assente/non numerico",IF(NOT(ISNUMBER(P33)),"Risposta assente/non numerica",IF(OR(P33&lt;1,P33&gt;4),"Risposta fuori scala","Inclusa")))))</f>
        <v/>
      </c>
      <c r="S33" s="9">
        <f>IF(Q33="Sì",P33*O33*J33,0)</f>
        <v/>
      </c>
      <c r="T33" s="9">
        <f>IF(Q33="Sì",O33*J33,0)</f>
        <v/>
      </c>
      <c r="U33" s="9">
        <f>IF(Q33="Sì",P33*O33*L33,0)</f>
        <v/>
      </c>
      <c r="V33" s="9">
        <f>IF(Q33="Sì",O33*L33,0)</f>
        <v/>
      </c>
    </row>
    <row r="34">
      <c r="A34" s="8" t="inlineStr">
        <is>
          <t>AS</t>
        </is>
      </c>
      <c r="B34" s="8" t="n">
        <v>30</v>
      </c>
      <c r="C34" s="8" t="inlineStr">
        <is>
          <t>MQ2</t>
        </is>
      </c>
      <c r="D34" s="8" t="inlineStr">
        <is>
          <t>MERCATO</t>
        </is>
      </c>
      <c r="E34" s="8" t="inlineStr">
        <is>
          <t>BRAND, COMUNICAZIONE E RAPPRESENTAZIONE</t>
        </is>
      </c>
      <c r="F34" s="8" t="inlineStr">
        <is>
          <t>EU</t>
        </is>
      </c>
      <c r="G34" s="8" t="inlineStr">
        <is>
          <t>EU</t>
        </is>
      </c>
      <c r="H34" s="8" t="inlineStr"/>
      <c r="I34" s="8">
        <f>IF(G34="","",IFERROR(VLOOKUP(G34,'Note e assunzioni'!$A$23:$B$32,2,FALSE),"Codice non mappato"))</f>
        <v/>
      </c>
      <c r="J34" s="8">
        <f>IF(Q34="Sì",IF(H34="",1,0.7),0)</f>
        <v/>
      </c>
      <c r="K34" s="8">
        <f>IF(H34="","",IFERROR(VLOOKUP(H34,'Note e assunzioni'!$A$23:$B$32,2,FALSE),"Codice non mappato"))</f>
        <v/>
      </c>
      <c r="L34" s="8">
        <f>IF(Q34="Sì",IF(H34="",0,0.3),0)</f>
        <v/>
      </c>
      <c r="M34" s="8" t="n">
        <v>3</v>
      </c>
      <c r="N34" s="8" t="n">
        <v>1</v>
      </c>
      <c r="O34" s="8">
        <f>IF('Input survey A'!$B$7="PMI",IF(M34="","",M34),IF(N34="","",N34))</f>
        <v/>
      </c>
      <c r="P34" s="8">
        <f>IFERROR(INDEX('Input survey A'!$C$12:$C$67,MATCH(C34,'Input survey A'!$A$12:$A$67,0)),"")</f>
        <v/>
      </c>
      <c r="Q34" s="8">
        <f>IF(F34="MAT","No",IF(G34="","No",IF(O34="","No",IF(OR(NOT(ISNUMBER(P34)),P34&lt;1,P34&gt;4),"No","Sì"))))</f>
        <v/>
      </c>
      <c r="R34" s="8">
        <f>IF(F34="MAT","MAT - esclusa dal calcolo matrice",IF(G34="","Cod. 1 assente",IF(O34="","Peso assente/non numerico",IF(NOT(ISNUMBER(P34)),"Risposta assente/non numerica",IF(OR(P34&lt;1,P34&gt;4),"Risposta fuori scala","Inclusa")))))</f>
        <v/>
      </c>
      <c r="S34" s="9">
        <f>IF(Q34="Sì",P34*O34*J34,0)</f>
        <v/>
      </c>
      <c r="T34" s="9">
        <f>IF(Q34="Sì",O34*J34,0)</f>
        <v/>
      </c>
      <c r="U34" s="9">
        <f>IF(Q34="Sì",P34*O34*L34,0)</f>
        <v/>
      </c>
      <c r="V34" s="9">
        <f>IF(Q34="Sì",O34*L34,0)</f>
        <v/>
      </c>
    </row>
    <row r="35">
      <c r="A35" s="8" t="inlineStr">
        <is>
          <t>AT</t>
        </is>
      </c>
      <c r="B35" s="8" t="n">
        <v>31</v>
      </c>
      <c r="C35" s="8" t="inlineStr">
        <is>
          <t>MQ3</t>
        </is>
      </c>
      <c r="D35" s="8" t="inlineStr">
        <is>
          <t>MERCATO</t>
        </is>
      </c>
      <c r="E35" s="8" t="inlineStr">
        <is>
          <t>BRAND, COMUNICAZIONE E RAPPRESENTAZIONE</t>
        </is>
      </c>
      <c r="F35" s="8" t="inlineStr">
        <is>
          <t>EU/ND</t>
        </is>
      </c>
      <c r="G35" s="8" t="inlineStr">
        <is>
          <t>EU</t>
        </is>
      </c>
      <c r="H35" s="8" t="inlineStr">
        <is>
          <t>ND</t>
        </is>
      </c>
      <c r="I35" s="8">
        <f>IF(G35="","",IFERROR(VLOOKUP(G35,'Note e assunzioni'!$A$23:$B$32,2,FALSE),"Codice non mappato"))</f>
        <v/>
      </c>
      <c r="J35" s="8">
        <f>IF(Q35="Sì",IF(H35="",1,0.7),0)</f>
        <v/>
      </c>
      <c r="K35" s="8">
        <f>IF(H35="","",IFERROR(VLOOKUP(H35,'Note e assunzioni'!$A$23:$B$32,2,FALSE),"Codice non mappato"))</f>
        <v/>
      </c>
      <c r="L35" s="8">
        <f>IF(Q35="Sì",IF(H35="",0,0.3),0)</f>
        <v/>
      </c>
      <c r="M35" s="8" t="n">
        <v>3</v>
      </c>
      <c r="N35" s="8" t="n">
        <v>1.5</v>
      </c>
      <c r="O35" s="8">
        <f>IF('Input survey A'!$B$7="PMI",IF(M35="","",M35),IF(N35="","",N35))</f>
        <v/>
      </c>
      <c r="P35" s="8">
        <f>IFERROR(INDEX('Input survey A'!$C$12:$C$67,MATCH(C35,'Input survey A'!$A$12:$A$67,0)),"")</f>
        <v/>
      </c>
      <c r="Q35" s="8">
        <f>IF(F35="MAT","No",IF(G35="","No",IF(O35="","No",IF(OR(NOT(ISNUMBER(P35)),P35&lt;1,P35&gt;4),"No","Sì"))))</f>
        <v/>
      </c>
      <c r="R35" s="8">
        <f>IF(F35="MAT","MAT - esclusa dal calcolo matrice",IF(G35="","Cod. 1 assente",IF(O35="","Peso assente/non numerico",IF(NOT(ISNUMBER(P35)),"Risposta assente/non numerica",IF(OR(P35&lt;1,P35&gt;4),"Risposta fuori scala","Inclusa")))))</f>
        <v/>
      </c>
      <c r="S35" s="9">
        <f>IF(Q35="Sì",P35*O35*J35,0)</f>
        <v/>
      </c>
      <c r="T35" s="9">
        <f>IF(Q35="Sì",O35*J35,0)</f>
        <v/>
      </c>
      <c r="U35" s="9">
        <f>IF(Q35="Sì",P35*O35*L35,0)</f>
        <v/>
      </c>
      <c r="V35" s="9">
        <f>IF(Q35="Sì",O35*L35,0)</f>
        <v/>
      </c>
    </row>
    <row r="36">
      <c r="A36" s="8" t="inlineStr">
        <is>
          <t>AU</t>
        </is>
      </c>
      <c r="B36" s="8" t="n">
        <v>32</v>
      </c>
      <c r="C36" s="8" t="inlineStr">
        <is>
          <t>MQ4</t>
        </is>
      </c>
      <c r="D36" s="8" t="inlineStr">
        <is>
          <t>MERCATO</t>
        </is>
      </c>
      <c r="E36" s="8" t="inlineStr">
        <is>
          <t>BRAND, COMUNICAZIONE E RAPPRESENTAZIONE</t>
        </is>
      </c>
      <c r="F36" s="8" t="inlineStr">
        <is>
          <t>EU</t>
        </is>
      </c>
      <c r="G36" s="8" t="inlineStr">
        <is>
          <t>EU</t>
        </is>
      </c>
      <c r="H36" s="8" t="inlineStr"/>
      <c r="I36" s="8">
        <f>IF(G36="","",IFERROR(VLOOKUP(G36,'Note e assunzioni'!$A$23:$B$32,2,FALSE),"Codice non mappato"))</f>
        <v/>
      </c>
      <c r="J36" s="8">
        <f>IF(Q36="Sì",IF(H36="",1,0.7),0)</f>
        <v/>
      </c>
      <c r="K36" s="8">
        <f>IF(H36="","",IFERROR(VLOOKUP(H36,'Note e assunzioni'!$A$23:$B$32,2,FALSE),"Codice non mappato"))</f>
        <v/>
      </c>
      <c r="L36" s="8">
        <f>IF(Q36="Sì",IF(H36="",0,0.3),0)</f>
        <v/>
      </c>
      <c r="M36" s="8" t="n">
        <v>3</v>
      </c>
      <c r="N36" s="8" t="n">
        <v>2.5</v>
      </c>
      <c r="O36" s="8">
        <f>IF('Input survey A'!$B$7="PMI",IF(M36="","",M36),IF(N36="","",N36))</f>
        <v/>
      </c>
      <c r="P36" s="8">
        <f>IFERROR(INDEX('Input survey A'!$C$12:$C$67,MATCH(C36,'Input survey A'!$A$12:$A$67,0)),"")</f>
        <v/>
      </c>
      <c r="Q36" s="8">
        <f>IF(F36="MAT","No",IF(G36="","No",IF(O36="","No",IF(OR(NOT(ISNUMBER(P36)),P36&lt;1,P36&gt;4),"No","Sì"))))</f>
        <v/>
      </c>
      <c r="R36" s="8">
        <f>IF(F36="MAT","MAT - esclusa dal calcolo matrice",IF(G36="","Cod. 1 assente",IF(O36="","Peso assente/non numerico",IF(NOT(ISNUMBER(P36)),"Risposta assente/non numerica",IF(OR(P36&lt;1,P36&gt;4),"Risposta fuori scala","Inclusa")))))</f>
        <v/>
      </c>
      <c r="S36" s="9">
        <f>IF(Q36="Sì",P36*O36*J36,0)</f>
        <v/>
      </c>
      <c r="T36" s="9">
        <f>IF(Q36="Sì",O36*J36,0)</f>
        <v/>
      </c>
      <c r="U36" s="9">
        <f>IF(Q36="Sì",P36*O36*L36,0)</f>
        <v/>
      </c>
      <c r="V36" s="9">
        <f>IF(Q36="Sì",O36*L36,0)</f>
        <v/>
      </c>
    </row>
    <row r="37">
      <c r="A37" s="8" t="inlineStr">
        <is>
          <t>AV</t>
        </is>
      </c>
      <c r="B37" s="8" t="n">
        <v>33</v>
      </c>
      <c r="C37" s="8" t="inlineStr">
        <is>
          <t>MQ5</t>
        </is>
      </c>
      <c r="D37" s="8" t="inlineStr">
        <is>
          <t>MERCATO</t>
        </is>
      </c>
      <c r="E37" s="8" t="inlineStr">
        <is>
          <t>BRAND, COMUNICAZIONE E RAPPRESENTAZIONE</t>
        </is>
      </c>
      <c r="F37" s="8" t="inlineStr">
        <is>
          <t>M/EU</t>
        </is>
      </c>
      <c r="G37" s="8" t="inlineStr">
        <is>
          <t>M</t>
        </is>
      </c>
      <c r="H37" s="8" t="inlineStr">
        <is>
          <t>EU</t>
        </is>
      </c>
      <c r="I37" s="8">
        <f>IF(G37="","",IFERROR(VLOOKUP(G37,'Note e assunzioni'!$A$23:$B$32,2,FALSE),"Codice non mappato"))</f>
        <v/>
      </c>
      <c r="J37" s="8">
        <f>IF(Q37="Sì",IF(H37="",1,0.7),0)</f>
        <v/>
      </c>
      <c r="K37" s="8">
        <f>IF(H37="","",IFERROR(VLOOKUP(H37,'Note e assunzioni'!$A$23:$B$32,2,FALSE),"Codice non mappato"))</f>
        <v/>
      </c>
      <c r="L37" s="8">
        <f>IF(Q37="Sì",IF(H37="",0,0.3),0)</f>
        <v/>
      </c>
      <c r="M37" s="8" t="n">
        <v>3</v>
      </c>
      <c r="N37" s="8" t="n">
        <v>2</v>
      </c>
      <c r="O37" s="8">
        <f>IF('Input survey A'!$B$7="PMI",IF(M37="","",M37),IF(N37="","",N37))</f>
        <v/>
      </c>
      <c r="P37" s="8">
        <f>IFERROR(INDEX('Input survey A'!$C$12:$C$67,MATCH(C37,'Input survey A'!$A$12:$A$67,0)),"")</f>
        <v/>
      </c>
      <c r="Q37" s="8">
        <f>IF(F37="MAT","No",IF(G37="","No",IF(O37="","No",IF(OR(NOT(ISNUMBER(P37)),P37&lt;1,P37&gt;4),"No","Sì"))))</f>
        <v/>
      </c>
      <c r="R37" s="8">
        <f>IF(F37="MAT","MAT - esclusa dal calcolo matrice",IF(G37="","Cod. 1 assente",IF(O37="","Peso assente/non numerico",IF(NOT(ISNUMBER(P37)),"Risposta assente/non numerica",IF(OR(P37&lt;1,P37&gt;4),"Risposta fuori scala","Inclusa")))))</f>
        <v/>
      </c>
      <c r="S37" s="9">
        <f>IF(Q37="Sì",P37*O37*J37,0)</f>
        <v/>
      </c>
      <c r="T37" s="9">
        <f>IF(Q37="Sì",O37*J37,0)</f>
        <v/>
      </c>
      <c r="U37" s="9">
        <f>IF(Q37="Sì",P37*O37*L37,0)</f>
        <v/>
      </c>
      <c r="V37" s="9">
        <f>IF(Q37="Sì",O37*L37,0)</f>
        <v/>
      </c>
    </row>
    <row r="38">
      <c r="A38" s="8" t="inlineStr">
        <is>
          <t>AW</t>
        </is>
      </c>
      <c r="B38" s="8" t="n">
        <v>34</v>
      </c>
      <c r="C38" s="8" t="inlineStr">
        <is>
          <t>MQ6</t>
        </is>
      </c>
      <c r="D38" s="8" t="inlineStr">
        <is>
          <t>MERCATO</t>
        </is>
      </c>
      <c r="E38" s="8" t="inlineStr">
        <is>
          <t>BRAND, COMUNICAZIONE E RAPPRESENTAZIONE</t>
        </is>
      </c>
      <c r="F38" s="8" t="inlineStr">
        <is>
          <t>M</t>
        </is>
      </c>
      <c r="G38" s="8" t="inlineStr">
        <is>
          <t>M</t>
        </is>
      </c>
      <c r="H38" s="8" t="inlineStr"/>
      <c r="I38" s="8">
        <f>IF(G38="","",IFERROR(VLOOKUP(G38,'Note e assunzioni'!$A$23:$B$32,2,FALSE),"Codice non mappato"))</f>
        <v/>
      </c>
      <c r="J38" s="8">
        <f>IF(Q38="Sì",IF(H38="",1,0.7),0)</f>
        <v/>
      </c>
      <c r="K38" s="8">
        <f>IF(H38="","",IFERROR(VLOOKUP(H38,'Note e assunzioni'!$A$23:$B$32,2,FALSE),"Codice non mappato"))</f>
        <v/>
      </c>
      <c r="L38" s="8">
        <f>IF(Q38="Sì",IF(H38="",0,0.3),0)</f>
        <v/>
      </c>
      <c r="M38" s="8" t="n">
        <v>3</v>
      </c>
      <c r="N38" s="8" t="n">
        <v>2</v>
      </c>
      <c r="O38" s="8">
        <f>IF('Input survey A'!$B$7="PMI",IF(M38="","",M38),IF(N38="","",N38))</f>
        <v/>
      </c>
      <c r="P38" s="8">
        <f>IFERROR(INDEX('Input survey A'!$C$12:$C$67,MATCH(C38,'Input survey A'!$A$12:$A$67,0)),"")</f>
        <v/>
      </c>
      <c r="Q38" s="8">
        <f>IF(F38="MAT","No",IF(G38="","No",IF(O38="","No",IF(OR(NOT(ISNUMBER(P38)),P38&lt;1,P38&gt;4),"No","Sì"))))</f>
        <v/>
      </c>
      <c r="R38" s="8">
        <f>IF(F38="MAT","MAT - esclusa dal calcolo matrice",IF(G38="","Cod. 1 assente",IF(O38="","Peso assente/non numerico",IF(NOT(ISNUMBER(P38)),"Risposta assente/non numerica",IF(OR(P38&lt;1,P38&gt;4),"Risposta fuori scala","Inclusa")))))</f>
        <v/>
      </c>
      <c r="S38" s="9">
        <f>IF(Q38="Sì",P38*O38*J38,0)</f>
        <v/>
      </c>
      <c r="T38" s="9">
        <f>IF(Q38="Sì",O38*J38,0)</f>
        <v/>
      </c>
      <c r="U38" s="9">
        <f>IF(Q38="Sì",P38*O38*L38,0)</f>
        <v/>
      </c>
      <c r="V38" s="9">
        <f>IF(Q38="Sì",O38*L38,0)</f>
        <v/>
      </c>
    </row>
    <row r="39">
      <c r="A39" s="8" t="inlineStr">
        <is>
          <t>AX</t>
        </is>
      </c>
      <c r="B39" s="8" t="n">
        <v>35</v>
      </c>
      <c r="C39" s="8" t="inlineStr">
        <is>
          <t>MQ7</t>
        </is>
      </c>
      <c r="D39" s="8" t="inlineStr">
        <is>
          <t>MERCATO</t>
        </is>
      </c>
      <c r="E39" s="8" t="inlineStr">
        <is>
          <t>CLIENTI, UTENTI E ACCESSIBILITÀ</t>
        </is>
      </c>
      <c r="F39" s="8" t="inlineStr">
        <is>
          <t>EU</t>
        </is>
      </c>
      <c r="G39" s="8" t="inlineStr">
        <is>
          <t>EU</t>
        </is>
      </c>
      <c r="H39" s="8" t="inlineStr"/>
      <c r="I39" s="8">
        <f>IF(G39="","",IFERROR(VLOOKUP(G39,'Note e assunzioni'!$A$23:$B$32,2,FALSE),"Codice non mappato"))</f>
        <v/>
      </c>
      <c r="J39" s="8">
        <f>IF(Q39="Sì",IF(H39="",1,0.7),0)</f>
        <v/>
      </c>
      <c r="K39" s="8">
        <f>IF(H39="","",IFERROR(VLOOKUP(H39,'Note e assunzioni'!$A$23:$B$32,2,FALSE),"Codice non mappato"))</f>
        <v/>
      </c>
      <c r="L39" s="8">
        <f>IF(Q39="Sì",IF(H39="",0,0.3),0)</f>
        <v/>
      </c>
      <c r="M39" s="8" t="n">
        <v>3</v>
      </c>
      <c r="N39" s="8" t="n">
        <v>1.5</v>
      </c>
      <c r="O39" s="8">
        <f>IF('Input survey A'!$B$7="PMI",IF(M39="","",M39),IF(N39="","",N39))</f>
        <v/>
      </c>
      <c r="P39" s="8">
        <f>IFERROR(INDEX('Input survey A'!$C$12:$C$67,MATCH(C39,'Input survey A'!$A$12:$A$67,0)),"")</f>
        <v/>
      </c>
      <c r="Q39" s="8">
        <f>IF(F39="MAT","No",IF(G39="","No",IF(O39="","No",IF(OR(NOT(ISNUMBER(P39)),P39&lt;1,P39&gt;4),"No","Sì"))))</f>
        <v/>
      </c>
      <c r="R39" s="8">
        <f>IF(F39="MAT","MAT - esclusa dal calcolo matrice",IF(G39="","Cod. 1 assente",IF(O39="","Peso assente/non numerico",IF(NOT(ISNUMBER(P39)),"Risposta assente/non numerica",IF(OR(P39&lt;1,P39&gt;4),"Risposta fuori scala","Inclusa")))))</f>
        <v/>
      </c>
      <c r="S39" s="9">
        <f>IF(Q39="Sì",P39*O39*J39,0)</f>
        <v/>
      </c>
      <c r="T39" s="9">
        <f>IF(Q39="Sì",O39*J39,0)</f>
        <v/>
      </c>
      <c r="U39" s="9">
        <f>IF(Q39="Sì",P39*O39*L39,0)</f>
        <v/>
      </c>
      <c r="V39" s="9">
        <f>IF(Q39="Sì",O39*L39,0)</f>
        <v/>
      </c>
    </row>
    <row r="40">
      <c r="A40" s="8" t="inlineStr">
        <is>
          <t>AY</t>
        </is>
      </c>
      <c r="B40" s="8" t="n">
        <v>36</v>
      </c>
      <c r="C40" s="8" t="inlineStr">
        <is>
          <t>MQ8</t>
        </is>
      </c>
      <c r="D40" s="8" t="inlineStr">
        <is>
          <t>MERCATO</t>
        </is>
      </c>
      <c r="E40" s="8" t="inlineStr">
        <is>
          <t>CLIENTI, UTENTI E ACCESSIBILITÀ</t>
        </is>
      </c>
      <c r="F40" s="8" t="inlineStr">
        <is>
          <t>M</t>
        </is>
      </c>
      <c r="G40" s="8" t="inlineStr">
        <is>
          <t>M</t>
        </is>
      </c>
      <c r="H40" s="8" t="inlineStr"/>
      <c r="I40" s="8">
        <f>IF(G40="","",IFERROR(VLOOKUP(G40,'Note e assunzioni'!$A$23:$B$32,2,FALSE),"Codice non mappato"))</f>
        <v/>
      </c>
      <c r="J40" s="8">
        <f>IF(Q40="Sì",IF(H40="",1,0.7),0)</f>
        <v/>
      </c>
      <c r="K40" s="8">
        <f>IF(H40="","",IFERROR(VLOOKUP(H40,'Note e assunzioni'!$A$23:$B$32,2,FALSE),"Codice non mappato"))</f>
        <v/>
      </c>
      <c r="L40" s="8">
        <f>IF(Q40="Sì",IF(H40="",0,0.3),0)</f>
        <v/>
      </c>
      <c r="M40" s="8" t="n">
        <v>3</v>
      </c>
      <c r="N40" s="8" t="n">
        <v>2</v>
      </c>
      <c r="O40" s="8">
        <f>IF('Input survey A'!$B$7="PMI",IF(M40="","",M40),IF(N40="","",N40))</f>
        <v/>
      </c>
      <c r="P40" s="8">
        <f>IFERROR(INDEX('Input survey A'!$C$12:$C$67,MATCH(C40,'Input survey A'!$A$12:$A$67,0)),"")</f>
        <v/>
      </c>
      <c r="Q40" s="8">
        <f>IF(F40="MAT","No",IF(G40="","No",IF(O40="","No",IF(OR(NOT(ISNUMBER(P40)),P40&lt;1,P40&gt;4),"No","Sì"))))</f>
        <v/>
      </c>
      <c r="R40" s="8">
        <f>IF(F40="MAT","MAT - esclusa dal calcolo matrice",IF(G40="","Cod. 1 assente",IF(O40="","Peso assente/non numerico",IF(NOT(ISNUMBER(P40)),"Risposta assente/non numerica",IF(OR(P40&lt;1,P40&gt;4),"Risposta fuori scala","Inclusa")))))</f>
        <v/>
      </c>
      <c r="S40" s="9">
        <f>IF(Q40="Sì",P40*O40*J40,0)</f>
        <v/>
      </c>
      <c r="T40" s="9">
        <f>IF(Q40="Sì",O40*J40,0)</f>
        <v/>
      </c>
      <c r="U40" s="9">
        <f>IF(Q40="Sì",P40*O40*L40,0)</f>
        <v/>
      </c>
      <c r="V40" s="9">
        <f>IF(Q40="Sì",O40*L40,0)</f>
        <v/>
      </c>
    </row>
    <row r="41">
      <c r="A41" s="8" t="inlineStr">
        <is>
          <t>AZ</t>
        </is>
      </c>
      <c r="B41" s="8" t="n">
        <v>37</v>
      </c>
      <c r="C41" s="8" t="inlineStr">
        <is>
          <t>MQ9</t>
        </is>
      </c>
      <c r="D41" s="8" t="inlineStr">
        <is>
          <t>MERCATO</t>
        </is>
      </c>
      <c r="E41" s="8" t="inlineStr">
        <is>
          <t>CLIENTI, UTENTI E ACCESSIBILITÀ</t>
        </is>
      </c>
      <c r="F41" s="8" t="inlineStr">
        <is>
          <t>EU/M</t>
        </is>
      </c>
      <c r="G41" s="8" t="inlineStr">
        <is>
          <t>EU</t>
        </is>
      </c>
      <c r="H41" s="8" t="inlineStr">
        <is>
          <t>M</t>
        </is>
      </c>
      <c r="I41" s="8">
        <f>IF(G41="","",IFERROR(VLOOKUP(G41,'Note e assunzioni'!$A$23:$B$32,2,FALSE),"Codice non mappato"))</f>
        <v/>
      </c>
      <c r="J41" s="8">
        <f>IF(Q41="Sì",IF(H41="",1,0.7),0)</f>
        <v/>
      </c>
      <c r="K41" s="8">
        <f>IF(H41="","",IFERROR(VLOOKUP(H41,'Note e assunzioni'!$A$23:$B$32,2,FALSE),"Codice non mappato"))</f>
        <v/>
      </c>
      <c r="L41" s="8">
        <f>IF(Q41="Sì",IF(H41="",0,0.3),0)</f>
        <v/>
      </c>
      <c r="M41" s="8" t="n">
        <v>3</v>
      </c>
      <c r="N41" s="8" t="n">
        <v>2.5</v>
      </c>
      <c r="O41" s="8">
        <f>IF('Input survey A'!$B$7="PMI",IF(M41="","",M41),IF(N41="","",N41))</f>
        <v/>
      </c>
      <c r="P41" s="8">
        <f>IFERROR(INDEX('Input survey A'!$C$12:$C$67,MATCH(C41,'Input survey A'!$A$12:$A$67,0)),"")</f>
        <v/>
      </c>
      <c r="Q41" s="8">
        <f>IF(F41="MAT","No",IF(G41="","No",IF(O41="","No",IF(OR(NOT(ISNUMBER(P41)),P41&lt;1,P41&gt;4),"No","Sì"))))</f>
        <v/>
      </c>
      <c r="R41" s="8">
        <f>IF(F41="MAT","MAT - esclusa dal calcolo matrice",IF(G41="","Cod. 1 assente",IF(O41="","Peso assente/non numerico",IF(NOT(ISNUMBER(P41)),"Risposta assente/non numerica",IF(OR(P41&lt;1,P41&gt;4),"Risposta fuori scala","Inclusa")))))</f>
        <v/>
      </c>
      <c r="S41" s="9">
        <f>IF(Q41="Sì",P41*O41*J41,0)</f>
        <v/>
      </c>
      <c r="T41" s="9">
        <f>IF(Q41="Sì",O41*J41,0)</f>
        <v/>
      </c>
      <c r="U41" s="9">
        <f>IF(Q41="Sì",P41*O41*L41,0)</f>
        <v/>
      </c>
      <c r="V41" s="9">
        <f>IF(Q41="Sì",O41*L41,0)</f>
        <v/>
      </c>
    </row>
    <row r="42">
      <c r="A42" s="8" t="inlineStr">
        <is>
          <t>BA</t>
        </is>
      </c>
      <c r="B42" s="8" t="n">
        <v>38</v>
      </c>
      <c r="C42" s="8" t="inlineStr">
        <is>
          <t>CQ7</t>
        </is>
      </c>
      <c r="D42" s="8" t="inlineStr">
        <is>
          <t>CULTURA</t>
        </is>
      </c>
      <c r="E42" s="8" t="inlineStr">
        <is>
          <t>FORMAZIONE E CONSAPEVOLEZZA</t>
        </is>
      </c>
      <c r="F42" s="8" t="inlineStr">
        <is>
          <t>ET/EU</t>
        </is>
      </c>
      <c r="G42" s="8" t="inlineStr">
        <is>
          <t>ET</t>
        </is>
      </c>
      <c r="H42" s="8" t="inlineStr">
        <is>
          <t>EU</t>
        </is>
      </c>
      <c r="I42" s="8">
        <f>IF(G42="","",IFERROR(VLOOKUP(G42,'Note e assunzioni'!$A$23:$B$32,2,FALSE),"Codice non mappato"))</f>
        <v/>
      </c>
      <c r="J42" s="8">
        <f>IF(Q42="Sì",IF(H42="",1,0.7),0)</f>
        <v/>
      </c>
      <c r="K42" s="8">
        <f>IF(H42="","",IFERROR(VLOOKUP(H42,'Note e assunzioni'!$A$23:$B$32,2,FALSE),"Codice non mappato"))</f>
        <v/>
      </c>
      <c r="L42" s="8">
        <f>IF(Q42="Sì",IF(H42="",0,0.3),0)</f>
        <v/>
      </c>
      <c r="M42" s="8" t="n">
        <v>1.5</v>
      </c>
      <c r="N42" s="8" t="n">
        <v>1</v>
      </c>
      <c r="O42" s="8">
        <f>IF('Input survey A'!$B$7="PMI",IF(M42="","",M42),IF(N42="","",N42))</f>
        <v/>
      </c>
      <c r="P42" s="8">
        <f>IFERROR(INDEX('Input survey A'!$C$12:$C$67,MATCH(C42,'Input survey A'!$A$12:$A$67,0)),"")</f>
        <v/>
      </c>
      <c r="Q42" s="8">
        <f>IF(F42="MAT","No",IF(G42="","No",IF(O42="","No",IF(OR(NOT(ISNUMBER(P42)),P42&lt;1,P42&gt;4),"No","Sì"))))</f>
        <v/>
      </c>
      <c r="R42" s="8">
        <f>IF(F42="MAT","MAT - esclusa dal calcolo matrice",IF(G42="","Cod. 1 assente",IF(O42="","Peso assente/non numerico",IF(NOT(ISNUMBER(P42)),"Risposta assente/non numerica",IF(OR(P42&lt;1,P42&gt;4),"Risposta fuori scala","Inclusa")))))</f>
        <v/>
      </c>
      <c r="S42" s="9">
        <f>IF(Q42="Sì",P42*O42*J42,0)</f>
        <v/>
      </c>
      <c r="T42" s="9">
        <f>IF(Q42="Sì",O42*J42,0)</f>
        <v/>
      </c>
      <c r="U42" s="9">
        <f>IF(Q42="Sì",P42*O42*L42,0)</f>
        <v/>
      </c>
      <c r="V42" s="9">
        <f>IF(Q42="Sì",O42*L42,0)</f>
        <v/>
      </c>
    </row>
    <row r="43">
      <c r="A43" s="8" t="inlineStr">
        <is>
          <t>BB</t>
        </is>
      </c>
      <c r="B43" s="8" t="n">
        <v>39</v>
      </c>
      <c r="C43" s="8" t="inlineStr">
        <is>
          <t>MQ10</t>
        </is>
      </c>
      <c r="D43" s="8" t="inlineStr">
        <is>
          <t>MERCATO</t>
        </is>
      </c>
      <c r="E43" s="8" t="inlineStr">
        <is>
          <t>CLIENTI, UTENTI E ACCESSIBILITÀ</t>
        </is>
      </c>
      <c r="F43" s="8" t="inlineStr">
        <is>
          <t>EU</t>
        </is>
      </c>
      <c r="G43" s="8" t="inlineStr">
        <is>
          <t>EU</t>
        </is>
      </c>
      <c r="H43" s="8" t="inlineStr"/>
      <c r="I43" s="8">
        <f>IF(G43="","",IFERROR(VLOOKUP(G43,'Note e assunzioni'!$A$23:$B$32,2,FALSE),"Codice non mappato"))</f>
        <v/>
      </c>
      <c r="J43" s="8">
        <f>IF(Q43="Sì",IF(H43="",1,0.7),0)</f>
        <v/>
      </c>
      <c r="K43" s="8">
        <f>IF(H43="","",IFERROR(VLOOKUP(H43,'Note e assunzioni'!$A$23:$B$32,2,FALSE),"Codice non mappato"))</f>
        <v/>
      </c>
      <c r="L43" s="8">
        <f>IF(Q43="Sì",IF(H43="",0,0.3),0)</f>
        <v/>
      </c>
      <c r="M43" s="8" t="n">
        <v>1.5</v>
      </c>
      <c r="N43" s="8" t="n">
        <v>1</v>
      </c>
      <c r="O43" s="8">
        <f>IF('Input survey A'!$B$7="PMI",IF(M43="","",M43),IF(N43="","",N43))</f>
        <v/>
      </c>
      <c r="P43" s="8">
        <f>IFERROR(INDEX('Input survey A'!$C$12:$C$67,MATCH(C43,'Input survey A'!$A$12:$A$67,0)),"")</f>
        <v/>
      </c>
      <c r="Q43" s="8">
        <f>IF(F43="MAT","No",IF(G43="","No",IF(O43="","No",IF(OR(NOT(ISNUMBER(P43)),P43&lt;1,P43&gt;4),"No","Sì"))))</f>
        <v/>
      </c>
      <c r="R43" s="8">
        <f>IF(F43="MAT","MAT - esclusa dal calcolo matrice",IF(G43="","Cod. 1 assente",IF(O43="","Peso assente/non numerico",IF(NOT(ISNUMBER(P43)),"Risposta assente/non numerica",IF(OR(P43&lt;1,P43&gt;4),"Risposta fuori scala","Inclusa")))))</f>
        <v/>
      </c>
      <c r="S43" s="9">
        <f>IF(Q43="Sì",P43*O43*J43,0)</f>
        <v/>
      </c>
      <c r="T43" s="9">
        <f>IF(Q43="Sì",O43*J43,0)</f>
        <v/>
      </c>
      <c r="U43" s="9">
        <f>IF(Q43="Sì",P43*O43*L43,0)</f>
        <v/>
      </c>
      <c r="V43" s="9">
        <f>IF(Q43="Sì",O43*L43,0)</f>
        <v/>
      </c>
    </row>
    <row r="44">
      <c r="A44" s="8" t="inlineStr">
        <is>
          <t>BC</t>
        </is>
      </c>
      <c r="B44" s="8" t="n">
        <v>40</v>
      </c>
      <c r="C44" s="8" t="inlineStr">
        <is>
          <t>MQ11</t>
        </is>
      </c>
      <c r="D44" s="8" t="inlineStr">
        <is>
          <t>MERCATO</t>
        </is>
      </c>
      <c r="E44" s="8" t="inlineStr">
        <is>
          <t>CLIENTI, UTENTI E ACCESSIBILITÀ</t>
        </is>
      </c>
      <c r="F44" s="8" t="inlineStr">
        <is>
          <t>EU/EE</t>
        </is>
      </c>
      <c r="G44" s="8" t="inlineStr">
        <is>
          <t>EU</t>
        </is>
      </c>
      <c r="H44" s="8" t="inlineStr">
        <is>
          <t>EE</t>
        </is>
      </c>
      <c r="I44" s="8">
        <f>IF(G44="","",IFERROR(VLOOKUP(G44,'Note e assunzioni'!$A$23:$B$32,2,FALSE),"Codice non mappato"))</f>
        <v/>
      </c>
      <c r="J44" s="8">
        <f>IF(Q44="Sì",IF(H44="",1,0.7),0)</f>
        <v/>
      </c>
      <c r="K44" s="8">
        <f>IF(H44="","",IFERROR(VLOOKUP(H44,'Note e assunzioni'!$A$23:$B$32,2,FALSE),"Codice non mappato"))</f>
        <v/>
      </c>
      <c r="L44" s="8">
        <f>IF(Q44="Sì",IF(H44="",0,0.3),0)</f>
        <v/>
      </c>
      <c r="M44" s="8" t="n">
        <v>2.5</v>
      </c>
      <c r="N44" s="8" t="n">
        <v>1.5</v>
      </c>
      <c r="O44" s="8">
        <f>IF('Input survey A'!$B$7="PMI",IF(M44="","",M44),IF(N44="","",N44))</f>
        <v/>
      </c>
      <c r="P44" s="8">
        <f>IFERROR(INDEX('Input survey A'!$C$12:$C$67,MATCH(C44,'Input survey A'!$A$12:$A$67,0)),"")</f>
        <v/>
      </c>
      <c r="Q44" s="8">
        <f>IF(F44="MAT","No",IF(G44="","No",IF(O44="","No",IF(OR(NOT(ISNUMBER(P44)),P44&lt;1,P44&gt;4),"No","Sì"))))</f>
        <v/>
      </c>
      <c r="R44" s="8">
        <f>IF(F44="MAT","MAT - esclusa dal calcolo matrice",IF(G44="","Cod. 1 assente",IF(O44="","Peso assente/non numerico",IF(NOT(ISNUMBER(P44)),"Risposta assente/non numerica",IF(OR(P44&lt;1,P44&gt;4),"Risposta fuori scala","Inclusa")))))</f>
        <v/>
      </c>
      <c r="S44" s="9">
        <f>IF(Q44="Sì",P44*O44*J44,0)</f>
        <v/>
      </c>
      <c r="T44" s="9">
        <f>IF(Q44="Sì",O44*J44,0)</f>
        <v/>
      </c>
      <c r="U44" s="9">
        <f>IF(Q44="Sì",P44*O44*L44,0)</f>
        <v/>
      </c>
      <c r="V44" s="9">
        <f>IF(Q44="Sì",O44*L44,0)</f>
        <v/>
      </c>
    </row>
    <row r="45">
      <c r="A45" s="8" t="inlineStr">
        <is>
          <t>BD</t>
        </is>
      </c>
      <c r="B45" s="8" t="n">
        <v>41</v>
      </c>
      <c r="C45" s="8" t="inlineStr">
        <is>
          <t>MQ12</t>
        </is>
      </c>
      <c r="D45" s="8" t="inlineStr">
        <is>
          <t>MERCATO</t>
        </is>
      </c>
      <c r="E45" s="8" t="inlineStr">
        <is>
          <t>CLIENTI, UTENTI E ACCESSIBILITÀ</t>
        </is>
      </c>
      <c r="F45" s="8" t="inlineStr">
        <is>
          <t>EU</t>
        </is>
      </c>
      <c r="G45" s="8" t="inlineStr">
        <is>
          <t>EU</t>
        </is>
      </c>
      <c r="H45" s="8" t="inlineStr"/>
      <c r="I45" s="8">
        <f>IF(G45="","",IFERROR(VLOOKUP(G45,'Note e assunzioni'!$A$23:$B$32,2,FALSE),"Codice non mappato"))</f>
        <v/>
      </c>
      <c r="J45" s="8">
        <f>IF(Q45="Sì",IF(H45="",1,0.7),0)</f>
        <v/>
      </c>
      <c r="K45" s="8">
        <f>IF(H45="","",IFERROR(VLOOKUP(H45,'Note e assunzioni'!$A$23:$B$32,2,FALSE),"Codice non mappato"))</f>
        <v/>
      </c>
      <c r="L45" s="8">
        <f>IF(Q45="Sì",IF(H45="",0,0.3),0)</f>
        <v/>
      </c>
      <c r="M45" s="8" t="n">
        <v>1.5</v>
      </c>
      <c r="N45" s="8" t="n">
        <v>1</v>
      </c>
      <c r="O45" s="8">
        <f>IF('Input survey A'!$B$7="PMI",IF(M45="","",M45),IF(N45="","",N45))</f>
        <v/>
      </c>
      <c r="P45" s="8">
        <f>IFERROR(INDEX('Input survey A'!$C$12:$C$67,MATCH(C45,'Input survey A'!$A$12:$A$67,0)),"")</f>
        <v/>
      </c>
      <c r="Q45" s="8">
        <f>IF(F45="MAT","No",IF(G45="","No",IF(O45="","No",IF(OR(NOT(ISNUMBER(P45)),P45&lt;1,P45&gt;4),"No","Sì"))))</f>
        <v/>
      </c>
      <c r="R45" s="8">
        <f>IF(F45="MAT","MAT - esclusa dal calcolo matrice",IF(G45="","Cod. 1 assente",IF(O45="","Peso assente/non numerico",IF(NOT(ISNUMBER(P45)),"Risposta assente/non numerica",IF(OR(P45&lt;1,P45&gt;4),"Risposta fuori scala","Inclusa")))))</f>
        <v/>
      </c>
      <c r="S45" s="9">
        <f>IF(Q45="Sì",P45*O45*J45,0)</f>
        <v/>
      </c>
      <c r="T45" s="9">
        <f>IF(Q45="Sì",O45*J45,0)</f>
        <v/>
      </c>
      <c r="U45" s="9">
        <f>IF(Q45="Sì",P45*O45*L45,0)</f>
        <v/>
      </c>
      <c r="V45" s="9">
        <f>IF(Q45="Sì",O45*L45,0)</f>
        <v/>
      </c>
    </row>
    <row r="46">
      <c r="A46" s="8" t="inlineStr">
        <is>
          <t>BE</t>
        </is>
      </c>
      <c r="B46" s="8" t="n">
        <v>42</v>
      </c>
      <c r="C46" s="8" t="inlineStr">
        <is>
          <t>MQ13</t>
        </is>
      </c>
      <c r="D46" s="8" t="inlineStr">
        <is>
          <t>MERCATO</t>
        </is>
      </c>
      <c r="E46" s="8" t="inlineStr">
        <is>
          <t>CLIENTI, UTENTI E ACCESSIBILITÀ</t>
        </is>
      </c>
      <c r="F46" s="8" t="inlineStr">
        <is>
          <t>EU</t>
        </is>
      </c>
      <c r="G46" s="8" t="inlineStr">
        <is>
          <t>EU</t>
        </is>
      </c>
      <c r="H46" s="8" t="inlineStr"/>
      <c r="I46" s="8">
        <f>IF(G46="","",IFERROR(VLOOKUP(G46,'Note e assunzioni'!$A$23:$B$32,2,FALSE),"Codice non mappato"))</f>
        <v/>
      </c>
      <c r="J46" s="8">
        <f>IF(Q46="Sì",IF(H46="",1,0.7),0)</f>
        <v/>
      </c>
      <c r="K46" s="8">
        <f>IF(H46="","",IFERROR(VLOOKUP(H46,'Note e assunzioni'!$A$23:$B$32,2,FALSE),"Codice non mappato"))</f>
        <v/>
      </c>
      <c r="L46" s="8">
        <f>IF(Q46="Sì",IF(H46="",0,0.3),0)</f>
        <v/>
      </c>
      <c r="M46" s="8" t="n">
        <v>1.5</v>
      </c>
      <c r="N46" s="8" t="n">
        <v>1</v>
      </c>
      <c r="O46" s="8">
        <f>IF('Input survey A'!$B$7="PMI",IF(M46="","",M46),IF(N46="","",N46))</f>
        <v/>
      </c>
      <c r="P46" s="8">
        <f>IFERROR(INDEX('Input survey A'!$C$12:$C$67,MATCH(C46,'Input survey A'!$A$12:$A$67,0)),"")</f>
        <v/>
      </c>
      <c r="Q46" s="8">
        <f>IF(F46="MAT","No",IF(G46="","No",IF(O46="","No",IF(OR(NOT(ISNUMBER(P46)),P46&lt;1,P46&gt;4),"No","Sì"))))</f>
        <v/>
      </c>
      <c r="R46" s="8">
        <f>IF(F46="MAT","MAT - esclusa dal calcolo matrice",IF(G46="","Cod. 1 assente",IF(O46="","Peso assente/non numerico",IF(NOT(ISNUMBER(P46)),"Risposta assente/non numerica",IF(OR(P46&lt;1,P46&gt;4),"Risposta fuori scala","Inclusa")))))</f>
        <v/>
      </c>
      <c r="S46" s="9">
        <f>IF(Q46="Sì",P46*O46*J46,0)</f>
        <v/>
      </c>
      <c r="T46" s="9">
        <f>IF(Q46="Sì",O46*J46,0)</f>
        <v/>
      </c>
      <c r="U46" s="9">
        <f>IF(Q46="Sì",P46*O46*L46,0)</f>
        <v/>
      </c>
      <c r="V46" s="9">
        <f>IF(Q46="Sì",O46*L46,0)</f>
        <v/>
      </c>
    </row>
    <row r="47">
      <c r="A47" s="8" t="inlineStr">
        <is>
          <t>BF</t>
        </is>
      </c>
      <c r="B47" s="8" t="n">
        <v>43</v>
      </c>
      <c r="C47" s="8" t="inlineStr">
        <is>
          <t>PQ17</t>
        </is>
      </c>
      <c r="D47" s="8" t="inlineStr">
        <is>
          <t>PROCESSI</t>
        </is>
      </c>
      <c r="E47" s="8" t="inlineStr">
        <is>
          <t>INNOVAZIONE, RICERCA E SVILUPPO</t>
        </is>
      </c>
      <c r="F47" s="8" t="inlineStr">
        <is>
          <t>E1/EU</t>
        </is>
      </c>
      <c r="G47" s="8" t="inlineStr">
        <is>
          <t>E</t>
        </is>
      </c>
      <c r="H47" s="8" t="inlineStr">
        <is>
          <t>EU</t>
        </is>
      </c>
      <c r="I47" s="8">
        <f>IF(G47="","",IFERROR(VLOOKUP(G47,'Note e assunzioni'!$A$23:$B$32,2,FALSE),"Codice non mappato"))</f>
        <v/>
      </c>
      <c r="J47" s="8">
        <f>IF(Q47="Sì",IF(H47="",1,0.7),0)</f>
        <v/>
      </c>
      <c r="K47" s="8">
        <f>IF(H47="","",IFERROR(VLOOKUP(H47,'Note e assunzioni'!$A$23:$B$32,2,FALSE),"Codice non mappato"))</f>
        <v/>
      </c>
      <c r="L47" s="8">
        <f>IF(Q47="Sì",IF(H47="",0,0.3),0)</f>
        <v/>
      </c>
      <c r="M47" s="8" t="n">
        <v>3</v>
      </c>
      <c r="N47" s="8" t="n">
        <v>2</v>
      </c>
      <c r="O47" s="8">
        <f>IF('Input survey A'!$B$7="PMI",IF(M47="","",M47),IF(N47="","",N47))</f>
        <v/>
      </c>
      <c r="P47" s="8">
        <f>IFERROR(INDEX('Input survey A'!$C$12:$C$67,MATCH(C47,'Input survey A'!$A$12:$A$67,0)),"")</f>
        <v/>
      </c>
      <c r="Q47" s="8">
        <f>IF(F47="MAT","No",IF(G47="","No",IF(O47="","No",IF(OR(NOT(ISNUMBER(P47)),P47&lt;1,P47&gt;4),"No","Sì"))))</f>
        <v/>
      </c>
      <c r="R47" s="8">
        <f>IF(F47="MAT","MAT - esclusa dal calcolo matrice",IF(G47="","Cod. 1 assente",IF(O47="","Peso assente/non numerico",IF(NOT(ISNUMBER(P47)),"Risposta assente/non numerica",IF(OR(P47&lt;1,P47&gt;4),"Risposta fuori scala","Inclusa")))))</f>
        <v/>
      </c>
      <c r="S47" s="9">
        <f>IF(Q47="Sì",P47*O47*J47,0)</f>
        <v/>
      </c>
      <c r="T47" s="9">
        <f>IF(Q47="Sì",O47*J47,0)</f>
        <v/>
      </c>
      <c r="U47" s="9">
        <f>IF(Q47="Sì",P47*O47*L47,0)</f>
        <v/>
      </c>
      <c r="V47" s="9">
        <f>IF(Q47="Sì",O47*L47,0)</f>
        <v/>
      </c>
    </row>
    <row r="48">
      <c r="A48" s="8" t="inlineStr">
        <is>
          <t>BG</t>
        </is>
      </c>
      <c r="B48" s="8" t="n">
        <v>44</v>
      </c>
      <c r="C48" s="8" t="inlineStr">
        <is>
          <t>PQ18</t>
        </is>
      </c>
      <c r="D48" s="8" t="inlineStr">
        <is>
          <t>PROCESSI</t>
        </is>
      </c>
      <c r="E48" s="8" t="inlineStr">
        <is>
          <t>INNOVAZIONE, RICERCA E SVILUPPO</t>
        </is>
      </c>
      <c r="F48" s="8" t="inlineStr">
        <is>
          <t>HR1</t>
        </is>
      </c>
      <c r="G48" s="8" t="inlineStr">
        <is>
          <t>HR</t>
        </is>
      </c>
      <c r="H48" s="8" t="inlineStr"/>
      <c r="I48" s="8">
        <f>IF(G48="","",IFERROR(VLOOKUP(G48,'Note e assunzioni'!$A$23:$B$32,2,FALSE),"Codice non mappato"))</f>
        <v/>
      </c>
      <c r="J48" s="8">
        <f>IF(Q48="Sì",IF(H48="",1,0.7),0)</f>
        <v/>
      </c>
      <c r="K48" s="8">
        <f>IF(H48="","",IFERROR(VLOOKUP(H48,'Note e assunzioni'!$A$23:$B$32,2,FALSE),"Codice non mappato"))</f>
        <v/>
      </c>
      <c r="L48" s="8">
        <f>IF(Q48="Sì",IF(H48="",0,0.3),0)</f>
        <v/>
      </c>
      <c r="M48" s="8" t="n">
        <v>3</v>
      </c>
      <c r="N48" s="8" t="n">
        <v>2</v>
      </c>
      <c r="O48" s="8">
        <f>IF('Input survey A'!$B$7="PMI",IF(M48="","",M48),IF(N48="","",N48))</f>
        <v/>
      </c>
      <c r="P48" s="8">
        <f>IFERROR(INDEX('Input survey A'!$C$12:$C$67,MATCH(C48,'Input survey A'!$A$12:$A$67,0)),"")</f>
        <v/>
      </c>
      <c r="Q48" s="8">
        <f>IF(F48="MAT","No",IF(G48="","No",IF(O48="","No",IF(OR(NOT(ISNUMBER(P48)),P48&lt;1,P48&gt;4),"No","Sì"))))</f>
        <v/>
      </c>
      <c r="R48" s="8">
        <f>IF(F48="MAT","MAT - esclusa dal calcolo matrice",IF(G48="","Cod. 1 assente",IF(O48="","Peso assente/non numerico",IF(NOT(ISNUMBER(P48)),"Risposta assente/non numerica",IF(OR(P48&lt;1,P48&gt;4),"Risposta fuori scala","Inclusa")))))</f>
        <v/>
      </c>
      <c r="S48" s="9">
        <f>IF(Q48="Sì",P48*O48*J48,0)</f>
        <v/>
      </c>
      <c r="T48" s="9">
        <f>IF(Q48="Sì",O48*J48,0)</f>
        <v/>
      </c>
      <c r="U48" s="9">
        <f>IF(Q48="Sì",P48*O48*L48,0)</f>
        <v/>
      </c>
      <c r="V48" s="9">
        <f>IF(Q48="Sì",O48*L48,0)</f>
        <v/>
      </c>
    </row>
    <row r="49">
      <c r="A49" s="8" t="inlineStr">
        <is>
          <t>BH</t>
        </is>
      </c>
      <c r="B49" s="8" t="n">
        <v>45</v>
      </c>
      <c r="C49" s="8" t="inlineStr">
        <is>
          <t>PQ19</t>
        </is>
      </c>
      <c r="D49" s="8" t="inlineStr">
        <is>
          <t>PROCESSI</t>
        </is>
      </c>
      <c r="E49" s="8" t="inlineStr">
        <is>
          <t>INNOVAZIONE, RICERCA E SVILUPPO</t>
        </is>
      </c>
      <c r="F49" s="8" t="inlineStr">
        <is>
          <t>ND</t>
        </is>
      </c>
      <c r="G49" s="8" t="inlineStr">
        <is>
          <t>ND</t>
        </is>
      </c>
      <c r="H49" s="8" t="inlineStr"/>
      <c r="I49" s="8">
        <f>IF(G49="","",IFERROR(VLOOKUP(G49,'Note e assunzioni'!$A$23:$B$32,2,FALSE),"Codice non mappato"))</f>
        <v/>
      </c>
      <c r="J49" s="8">
        <f>IF(Q49="Sì",IF(H49="",1,0.7),0)</f>
        <v/>
      </c>
      <c r="K49" s="8">
        <f>IF(H49="","",IFERROR(VLOOKUP(H49,'Note e assunzioni'!$A$23:$B$32,2,FALSE),"Codice non mappato"))</f>
        <v/>
      </c>
      <c r="L49" s="8">
        <f>IF(Q49="Sì",IF(H49="",0,0.3),0)</f>
        <v/>
      </c>
      <c r="M49" s="8" t="inlineStr"/>
      <c r="N49" s="8" t="inlineStr"/>
      <c r="O49" s="8">
        <f>IF('Input survey A'!$B$7="PMI",IF(M49="","",M49),IF(N49="","",N49))</f>
        <v/>
      </c>
      <c r="P49" s="8">
        <f>IFERROR(INDEX('Input survey A'!$C$12:$C$67,MATCH(C49,'Input survey A'!$A$12:$A$67,0)),"")</f>
        <v/>
      </c>
      <c r="Q49" s="8">
        <f>IF(F49="MAT","No",IF(G49="","No",IF(O49="","No",IF(OR(NOT(ISNUMBER(P49)),P49&lt;1,P49&gt;4),"No","Sì"))))</f>
        <v/>
      </c>
      <c r="R49" s="8">
        <f>IF(F49="MAT","MAT - esclusa dal calcolo matrice",IF(G49="","Cod. 1 assente",IF(O49="","Peso assente/non numerico",IF(NOT(ISNUMBER(P49)),"Risposta assente/non numerica",IF(OR(P49&lt;1,P49&gt;4),"Risposta fuori scala","Inclusa")))))</f>
        <v/>
      </c>
      <c r="S49" s="9">
        <f>IF(Q49="Sì",P49*O49*J49,0)</f>
        <v/>
      </c>
      <c r="T49" s="9">
        <f>IF(Q49="Sì",O49*J49,0)</f>
        <v/>
      </c>
      <c r="U49" s="9">
        <f>IF(Q49="Sì",P49*O49*L49,0)</f>
        <v/>
      </c>
      <c r="V49" s="9">
        <f>IF(Q49="Sì",O49*L49,0)</f>
        <v/>
      </c>
    </row>
    <row r="50">
      <c r="A50" s="8" t="inlineStr">
        <is>
          <t>BI</t>
        </is>
      </c>
      <c r="B50" s="8" t="n">
        <v>46</v>
      </c>
      <c r="C50" s="8" t="inlineStr">
        <is>
          <t>MQ14</t>
        </is>
      </c>
      <c r="D50" s="8" t="inlineStr">
        <is>
          <t>MERCATO</t>
        </is>
      </c>
      <c r="E50" s="8" t="inlineStr">
        <is>
          <t>IMPATTO SOCIALE E POSIZIONAMENTO</t>
        </is>
      </c>
      <c r="F50" s="8" t="inlineStr">
        <is>
          <t>M</t>
        </is>
      </c>
      <c r="G50" s="8" t="inlineStr">
        <is>
          <t>M</t>
        </is>
      </c>
      <c r="H50" s="8" t="inlineStr"/>
      <c r="I50" s="8">
        <f>IF(G50="","",IFERROR(VLOOKUP(G50,'Note e assunzioni'!$A$23:$B$32,2,FALSE),"Codice non mappato"))</f>
        <v/>
      </c>
      <c r="J50" s="8">
        <f>IF(Q50="Sì",IF(H50="",1,0.7),0)</f>
        <v/>
      </c>
      <c r="K50" s="8">
        <f>IF(H50="","",IFERROR(VLOOKUP(H50,'Note e assunzioni'!$A$23:$B$32,2,FALSE),"Codice non mappato"))</f>
        <v/>
      </c>
      <c r="L50" s="8">
        <f>IF(Q50="Sì",IF(H50="",0,0.3),0)</f>
        <v/>
      </c>
      <c r="M50" s="8" t="n">
        <v>2.5</v>
      </c>
      <c r="N50" s="8" t="n">
        <v>1.5</v>
      </c>
      <c r="O50" s="8">
        <f>IF('Input survey A'!$B$7="PMI",IF(M50="","",M50),IF(N50="","",N50))</f>
        <v/>
      </c>
      <c r="P50" s="8">
        <f>IFERROR(INDEX('Input survey A'!$C$12:$C$67,MATCH(C50,'Input survey A'!$A$12:$A$67,0)),"")</f>
        <v/>
      </c>
      <c r="Q50" s="8">
        <f>IF(F50="MAT","No",IF(G50="","No",IF(O50="","No",IF(OR(NOT(ISNUMBER(P50)),P50&lt;1,P50&gt;4),"No","Sì"))))</f>
        <v/>
      </c>
      <c r="R50" s="8">
        <f>IF(F50="MAT","MAT - esclusa dal calcolo matrice",IF(G50="","Cod. 1 assente",IF(O50="","Peso assente/non numerico",IF(NOT(ISNUMBER(P50)),"Risposta assente/non numerica",IF(OR(P50&lt;1,P50&gt;4),"Risposta fuori scala","Inclusa")))))</f>
        <v/>
      </c>
      <c r="S50" s="9">
        <f>IF(Q50="Sì",P50*O50*J50,0)</f>
        <v/>
      </c>
      <c r="T50" s="9">
        <f>IF(Q50="Sì",O50*J50,0)</f>
        <v/>
      </c>
      <c r="U50" s="9">
        <f>IF(Q50="Sì",P50*O50*L50,0)</f>
        <v/>
      </c>
      <c r="V50" s="9">
        <f>IF(Q50="Sì",O50*L50,0)</f>
        <v/>
      </c>
    </row>
    <row r="51">
      <c r="A51" s="8" t="inlineStr">
        <is>
          <t>BJ</t>
        </is>
      </c>
      <c r="B51" s="8" t="n">
        <v>47</v>
      </c>
      <c r="C51" s="8" t="inlineStr">
        <is>
          <t>MQ15</t>
        </is>
      </c>
      <c r="D51" s="8" t="inlineStr">
        <is>
          <t>MERCATO</t>
        </is>
      </c>
      <c r="E51" s="8" t="inlineStr">
        <is>
          <t>IMPATTO SOCIALE E POSIZIONAMENTO</t>
        </is>
      </c>
      <c r="F51" s="8" t="inlineStr">
        <is>
          <t>C</t>
        </is>
      </c>
      <c r="G51" s="8" t="inlineStr">
        <is>
          <t>C</t>
        </is>
      </c>
      <c r="H51" s="8" t="inlineStr"/>
      <c r="I51" s="8">
        <f>IF(G51="","",IFERROR(VLOOKUP(G51,'Note e assunzioni'!$A$23:$B$32,2,FALSE),"Codice non mappato"))</f>
        <v/>
      </c>
      <c r="J51" s="8">
        <f>IF(Q51="Sì",IF(H51="",1,0.7),0)</f>
        <v/>
      </c>
      <c r="K51" s="8">
        <f>IF(H51="","",IFERROR(VLOOKUP(H51,'Note e assunzioni'!$A$23:$B$32,2,FALSE),"Codice non mappato"))</f>
        <v/>
      </c>
      <c r="L51" s="8">
        <f>IF(Q51="Sì",IF(H51="",0,0.3),0)</f>
        <v/>
      </c>
      <c r="M51" s="8" t="n">
        <v>2.5</v>
      </c>
      <c r="N51" s="8" t="n">
        <v>1.5</v>
      </c>
      <c r="O51" s="8">
        <f>IF('Input survey A'!$B$7="PMI",IF(M51="","",M51),IF(N51="","",N51))</f>
        <v/>
      </c>
      <c r="P51" s="8">
        <f>IFERROR(INDEX('Input survey A'!$C$12:$C$67,MATCH(C51,'Input survey A'!$A$12:$A$67,0)),"")</f>
        <v/>
      </c>
      <c r="Q51" s="8">
        <f>IF(F51="MAT","No",IF(G51="","No",IF(O51="","No",IF(OR(NOT(ISNUMBER(P51)),P51&lt;1,P51&gt;4),"No","Sì"))))</f>
        <v/>
      </c>
      <c r="R51" s="8">
        <f>IF(F51="MAT","MAT - esclusa dal calcolo matrice",IF(G51="","Cod. 1 assente",IF(O51="","Peso assente/non numerico",IF(NOT(ISNUMBER(P51)),"Risposta assente/non numerica",IF(OR(P51&lt;1,P51&gt;4),"Risposta fuori scala","Inclusa")))))</f>
        <v/>
      </c>
      <c r="S51" s="9">
        <f>IF(Q51="Sì",P51*O51*J51,0)</f>
        <v/>
      </c>
      <c r="T51" s="9">
        <f>IF(Q51="Sì",O51*J51,0)</f>
        <v/>
      </c>
      <c r="U51" s="9">
        <f>IF(Q51="Sì",P51*O51*L51,0)</f>
        <v/>
      </c>
      <c r="V51" s="9">
        <f>IF(Q51="Sì",O51*L51,0)</f>
        <v/>
      </c>
    </row>
    <row r="52">
      <c r="A52" s="8" t="inlineStr">
        <is>
          <t>BK</t>
        </is>
      </c>
      <c r="B52" s="8" t="n">
        <v>48</v>
      </c>
      <c r="C52" s="8" t="inlineStr">
        <is>
          <t>MQ16</t>
        </is>
      </c>
      <c r="D52" s="8" t="inlineStr">
        <is>
          <t>MERCATO</t>
        </is>
      </c>
      <c r="E52" s="8" t="inlineStr">
        <is>
          <t>IMPATTO SOCIALE E POSIZIONAMENTO</t>
        </is>
      </c>
      <c r="F52" s="8" t="inlineStr">
        <is>
          <t>C</t>
        </is>
      </c>
      <c r="G52" s="8" t="inlineStr">
        <is>
          <t>C</t>
        </is>
      </c>
      <c r="H52" s="8" t="inlineStr"/>
      <c r="I52" s="8">
        <f>IF(G52="","",IFERROR(VLOOKUP(G52,'Note e assunzioni'!$A$23:$B$32,2,FALSE),"Codice non mappato"))</f>
        <v/>
      </c>
      <c r="J52" s="8">
        <f>IF(Q52="Sì",IF(H52="",1,0.7),0)</f>
        <v/>
      </c>
      <c r="K52" s="8">
        <f>IF(H52="","",IFERROR(VLOOKUP(H52,'Note e assunzioni'!$A$23:$B$32,2,FALSE),"Codice non mappato"))</f>
        <v/>
      </c>
      <c r="L52" s="8">
        <f>IF(Q52="Sì",IF(H52="",0,0.3),0)</f>
        <v/>
      </c>
      <c r="M52" s="8" t="n">
        <v>2.5</v>
      </c>
      <c r="N52" s="8" t="n">
        <v>2</v>
      </c>
      <c r="O52" s="8">
        <f>IF('Input survey A'!$B$7="PMI",IF(M52="","",M52),IF(N52="","",N52))</f>
        <v/>
      </c>
      <c r="P52" s="8">
        <f>IFERROR(INDEX('Input survey A'!$C$12:$C$67,MATCH(C52,'Input survey A'!$A$12:$A$67,0)),"")</f>
        <v/>
      </c>
      <c r="Q52" s="8">
        <f>IF(F52="MAT","No",IF(G52="","No",IF(O52="","No",IF(OR(NOT(ISNUMBER(P52)),P52&lt;1,P52&gt;4),"No","Sì"))))</f>
        <v/>
      </c>
      <c r="R52" s="8">
        <f>IF(F52="MAT","MAT - esclusa dal calcolo matrice",IF(G52="","Cod. 1 assente",IF(O52="","Peso assente/non numerico",IF(NOT(ISNUMBER(P52)),"Risposta assente/non numerica",IF(OR(P52&lt;1,P52&gt;4),"Risposta fuori scala","Inclusa")))))</f>
        <v/>
      </c>
      <c r="S52" s="9">
        <f>IF(Q52="Sì",P52*O52*J52,0)</f>
        <v/>
      </c>
      <c r="T52" s="9">
        <f>IF(Q52="Sì",O52*J52,0)</f>
        <v/>
      </c>
      <c r="U52" s="9">
        <f>IF(Q52="Sì",P52*O52*L52,0)</f>
        <v/>
      </c>
      <c r="V52" s="9">
        <f>IF(Q52="Sì",O52*L52,0)</f>
        <v/>
      </c>
    </row>
    <row r="53">
      <c r="A53" s="8" t="inlineStr">
        <is>
          <t>BL</t>
        </is>
      </c>
      <c r="B53" s="8" t="n">
        <v>49</v>
      </c>
      <c r="C53" s="8" t="inlineStr">
        <is>
          <t>MQ17</t>
        </is>
      </c>
      <c r="D53" s="8" t="inlineStr">
        <is>
          <t>MERCATO</t>
        </is>
      </c>
      <c r="E53" s="8" t="inlineStr">
        <is>
          <t>IMPATTO SOCIALE E POSIZIONAMENTO</t>
        </is>
      </c>
      <c r="F53" s="8" t="inlineStr">
        <is>
          <t>SC</t>
        </is>
      </c>
      <c r="G53" s="8" t="inlineStr">
        <is>
          <t>SC</t>
        </is>
      </c>
      <c r="H53" s="8" t="inlineStr"/>
      <c r="I53" s="8">
        <f>IF(G53="","",IFERROR(VLOOKUP(G53,'Note e assunzioni'!$A$23:$B$32,2,FALSE),"Codice non mappato"))</f>
        <v/>
      </c>
      <c r="J53" s="8">
        <f>IF(Q53="Sì",IF(H53="",1,0.7),0)</f>
        <v/>
      </c>
      <c r="K53" s="8">
        <f>IF(H53="","",IFERROR(VLOOKUP(H53,'Note e assunzioni'!$A$23:$B$32,2,FALSE),"Codice non mappato"))</f>
        <v/>
      </c>
      <c r="L53" s="8">
        <f>IF(Q53="Sì",IF(H53="",0,0.3),0)</f>
        <v/>
      </c>
      <c r="M53" s="8" t="n">
        <v>2</v>
      </c>
      <c r="N53" s="8" t="n">
        <v>1</v>
      </c>
      <c r="O53" s="8">
        <f>IF('Input survey A'!$B$7="PMI",IF(M53="","",M53),IF(N53="","",N53))</f>
        <v/>
      </c>
      <c r="P53" s="8">
        <f>IFERROR(INDEX('Input survey A'!$C$12:$C$67,MATCH(C53,'Input survey A'!$A$12:$A$67,0)),"")</f>
        <v/>
      </c>
      <c r="Q53" s="8">
        <f>IF(F53="MAT","No",IF(G53="","No",IF(O53="","No",IF(OR(NOT(ISNUMBER(P53)),P53&lt;1,P53&gt;4),"No","Sì"))))</f>
        <v/>
      </c>
      <c r="R53" s="8">
        <f>IF(F53="MAT","MAT - esclusa dal calcolo matrice",IF(G53="","Cod. 1 assente",IF(O53="","Peso assente/non numerico",IF(NOT(ISNUMBER(P53)),"Risposta assente/non numerica",IF(OR(P53&lt;1,P53&gt;4),"Risposta fuori scala","Inclusa")))))</f>
        <v/>
      </c>
      <c r="S53" s="9">
        <f>IF(Q53="Sì",P53*O53*J53,0)</f>
        <v/>
      </c>
      <c r="T53" s="9">
        <f>IF(Q53="Sì",O53*J53,0)</f>
        <v/>
      </c>
      <c r="U53" s="9">
        <f>IF(Q53="Sì",P53*O53*L53,0)</f>
        <v/>
      </c>
      <c r="V53" s="9">
        <f>IF(Q53="Sì",O53*L53,0)</f>
        <v/>
      </c>
    </row>
    <row r="54">
      <c r="A54" s="8" t="inlineStr">
        <is>
          <t>BN</t>
        </is>
      </c>
      <c r="B54" s="8" t="n">
        <v>50</v>
      </c>
      <c r="C54" s="8" t="inlineStr">
        <is>
          <t>SQ7</t>
        </is>
      </c>
      <c r="D54" s="8" t="inlineStr">
        <is>
          <t>STRATEGIA</t>
        </is>
      </c>
      <c r="E54" s="8" t="inlineStr">
        <is>
          <t>MISURAZIONE E IMPATTO</t>
        </is>
      </c>
      <c r="F54" s="8" t="inlineStr">
        <is>
          <t>EE/M</t>
        </is>
      </c>
      <c r="G54" s="8" t="inlineStr">
        <is>
          <t>EE</t>
        </is>
      </c>
      <c r="H54" s="8" t="inlineStr">
        <is>
          <t>M</t>
        </is>
      </c>
      <c r="I54" s="8">
        <f>IF(G54="","",IFERROR(VLOOKUP(G54,'Note e assunzioni'!$A$23:$B$32,2,FALSE),"Codice non mappato"))</f>
        <v/>
      </c>
      <c r="J54" s="8">
        <f>IF(Q54="Sì",IF(H54="",1,0.7),0)</f>
        <v/>
      </c>
      <c r="K54" s="8">
        <f>IF(H54="","",IFERROR(VLOOKUP(H54,'Note e assunzioni'!$A$23:$B$32,2,FALSE),"Codice non mappato"))</f>
        <v/>
      </c>
      <c r="L54" s="8">
        <f>IF(Q54="Sì",IF(H54="",0,0.3),0)</f>
        <v/>
      </c>
      <c r="M54" s="8" t="n">
        <v>1.5</v>
      </c>
      <c r="N54" s="8" t="n">
        <v>1</v>
      </c>
      <c r="O54" s="8">
        <f>IF('Input survey A'!$B$7="PMI",IF(M54="","",M54),IF(N54="","",N54))</f>
        <v/>
      </c>
      <c r="P54" s="8">
        <f>IFERROR(INDEX('Input survey A'!$C$12:$C$67,MATCH(C54,'Input survey A'!$A$12:$A$67,0)),"")</f>
        <v/>
      </c>
      <c r="Q54" s="8">
        <f>IF(F54="MAT","No",IF(G54="","No",IF(O54="","No",IF(OR(NOT(ISNUMBER(P54)),P54&lt;1,P54&gt;4),"No","Sì"))))</f>
        <v/>
      </c>
      <c r="R54" s="8">
        <f>IF(F54="MAT","MAT - esclusa dal calcolo matrice",IF(G54="","Cod. 1 assente",IF(O54="","Peso assente/non numerico",IF(NOT(ISNUMBER(P54)),"Risposta assente/non numerica",IF(OR(P54&lt;1,P54&gt;4),"Risposta fuori scala","Inclusa")))))</f>
        <v/>
      </c>
      <c r="S54" s="9">
        <f>IF(Q54="Sì",P54*O54*J54,0)</f>
        <v/>
      </c>
      <c r="T54" s="9">
        <f>IF(Q54="Sì",O54*J54,0)</f>
        <v/>
      </c>
      <c r="U54" s="9">
        <f>IF(Q54="Sì",P54*O54*L54,0)</f>
        <v/>
      </c>
      <c r="V54" s="9">
        <f>IF(Q54="Sì",O54*L54,0)</f>
        <v/>
      </c>
    </row>
    <row r="55">
      <c r="A55" s="8" t="inlineStr">
        <is>
          <t>BO</t>
        </is>
      </c>
      <c r="B55" s="8" t="n">
        <v>51</v>
      </c>
      <c r="C55" s="8" t="inlineStr">
        <is>
          <t>SQ8</t>
        </is>
      </c>
      <c r="D55" s="8" t="inlineStr">
        <is>
          <t>STRATEGIA</t>
        </is>
      </c>
      <c r="E55" s="8" t="inlineStr">
        <is>
          <t>MISURAZIONE E IMPATTO</t>
        </is>
      </c>
      <c r="F55" s="8" t="inlineStr">
        <is>
          <t>M</t>
        </is>
      </c>
      <c r="G55" s="8" t="inlineStr">
        <is>
          <t>M</t>
        </is>
      </c>
      <c r="H55" s="8" t="inlineStr"/>
      <c r="I55" s="8">
        <f>IF(G55="","",IFERROR(VLOOKUP(G55,'Note e assunzioni'!$A$23:$B$32,2,FALSE),"Codice non mappato"))</f>
        <v/>
      </c>
      <c r="J55" s="8">
        <f>IF(Q55="Sì",IF(H55="",1,0.7),0)</f>
        <v/>
      </c>
      <c r="K55" s="8">
        <f>IF(H55="","",IFERROR(VLOOKUP(H55,'Note e assunzioni'!$A$23:$B$32,2,FALSE),"Codice non mappato"))</f>
        <v/>
      </c>
      <c r="L55" s="8">
        <f>IF(Q55="Sì",IF(H55="",0,0.3),0)</f>
        <v/>
      </c>
      <c r="M55" s="8" t="n">
        <v>2.5</v>
      </c>
      <c r="N55" s="8" t="n">
        <v>1.5</v>
      </c>
      <c r="O55" s="8">
        <f>IF('Input survey A'!$B$7="PMI",IF(M55="","",M55),IF(N55="","",N55))</f>
        <v/>
      </c>
      <c r="P55" s="8">
        <f>IFERROR(INDEX('Input survey A'!$C$12:$C$67,MATCH(C55,'Input survey A'!$A$12:$A$67,0)),"")</f>
        <v/>
      </c>
      <c r="Q55" s="8">
        <f>IF(F55="MAT","No",IF(G55="","No",IF(O55="","No",IF(OR(NOT(ISNUMBER(P55)),P55&lt;1,P55&gt;4),"No","Sì"))))</f>
        <v/>
      </c>
      <c r="R55" s="8">
        <f>IF(F55="MAT","MAT - esclusa dal calcolo matrice",IF(G55="","Cod. 1 assente",IF(O55="","Peso assente/non numerico",IF(NOT(ISNUMBER(P55)),"Risposta assente/non numerica",IF(OR(P55&lt;1,P55&gt;4),"Risposta fuori scala","Inclusa")))))</f>
        <v/>
      </c>
      <c r="S55" s="9">
        <f>IF(Q55="Sì",P55*O55*J55,0)</f>
        <v/>
      </c>
      <c r="T55" s="9">
        <f>IF(Q55="Sì",O55*J55,0)</f>
        <v/>
      </c>
      <c r="U55" s="9">
        <f>IF(Q55="Sì",P55*O55*L55,0)</f>
        <v/>
      </c>
      <c r="V55" s="9">
        <f>IF(Q55="Sì",O55*L55,0)</f>
        <v/>
      </c>
    </row>
    <row r="56">
      <c r="A56" s="8" t="inlineStr">
        <is>
          <t>BP</t>
        </is>
      </c>
      <c r="B56" s="8" t="n">
        <v>52</v>
      </c>
      <c r="C56" s="8" t="inlineStr">
        <is>
          <t>SQ9</t>
        </is>
      </c>
      <c r="D56" s="8" t="inlineStr">
        <is>
          <t>STRATEGIA</t>
        </is>
      </c>
      <c r="E56" s="8" t="inlineStr">
        <is>
          <t>STRATEGIA E PIANIFICAZIONE</t>
        </is>
      </c>
      <c r="F56" s="8" t="inlineStr">
        <is>
          <t>F</t>
        </is>
      </c>
      <c r="G56" s="8" t="inlineStr">
        <is>
          <t>F</t>
        </is>
      </c>
      <c r="H56" s="8" t="inlineStr"/>
      <c r="I56" s="8">
        <f>IF(G56="","",IFERROR(VLOOKUP(G56,'Note e assunzioni'!$A$23:$B$32,2,FALSE),"Codice non mappato"))</f>
        <v/>
      </c>
      <c r="J56" s="8">
        <f>IF(Q56="Sì",IF(H56="",1,0.7),0)</f>
        <v/>
      </c>
      <c r="K56" s="8">
        <f>IF(H56="","",IFERROR(VLOOKUP(H56,'Note e assunzioni'!$A$23:$B$32,2,FALSE),"Codice non mappato"))</f>
        <v/>
      </c>
      <c r="L56" s="8">
        <f>IF(Q56="Sì",IF(H56="",0,0.3),0)</f>
        <v/>
      </c>
      <c r="M56" s="8" t="n">
        <v>1.5</v>
      </c>
      <c r="N56" s="8" t="n">
        <v>1</v>
      </c>
      <c r="O56" s="8">
        <f>IF('Input survey A'!$B$7="PMI",IF(M56="","",M56),IF(N56="","",N56))</f>
        <v/>
      </c>
      <c r="P56" s="8">
        <f>IFERROR(INDEX('Input survey A'!$C$12:$C$67,MATCH(C56,'Input survey A'!$A$12:$A$67,0)),"")</f>
        <v/>
      </c>
      <c r="Q56" s="8">
        <f>IF(F56="MAT","No",IF(G56="","No",IF(O56="","No",IF(OR(NOT(ISNUMBER(P56)),P56&lt;1,P56&gt;4),"No","Sì"))))</f>
        <v/>
      </c>
      <c r="R56" s="8">
        <f>IF(F56="MAT","MAT - esclusa dal calcolo matrice",IF(G56="","Cod. 1 assente",IF(O56="","Peso assente/non numerico",IF(NOT(ISNUMBER(P56)),"Risposta assente/non numerica",IF(OR(P56&lt;1,P56&gt;4),"Risposta fuori scala","Inclusa")))))</f>
        <v/>
      </c>
      <c r="S56" s="9">
        <f>IF(Q56="Sì",P56*O56*J56,0)</f>
        <v/>
      </c>
      <c r="T56" s="9">
        <f>IF(Q56="Sì",O56*J56,0)</f>
        <v/>
      </c>
      <c r="U56" s="9">
        <f>IF(Q56="Sì",P56*O56*L56,0)</f>
        <v/>
      </c>
      <c r="V56" s="9">
        <f>IF(Q56="Sì",O56*L56,0)</f>
        <v/>
      </c>
    </row>
    <row r="57">
      <c r="A57" s="8" t="inlineStr">
        <is>
          <t>BQ</t>
        </is>
      </c>
      <c r="B57" s="8" t="n">
        <v>53</v>
      </c>
      <c r="C57" s="8" t="inlineStr">
        <is>
          <t>SQ10</t>
        </is>
      </c>
      <c r="D57" s="8" t="inlineStr">
        <is>
          <t>STRATEGIA</t>
        </is>
      </c>
      <c r="E57" s="8" t="inlineStr">
        <is>
          <t>STRATEGIA E PIANIFICAZIONE</t>
        </is>
      </c>
      <c r="F57" s="8" t="inlineStr">
        <is>
          <t>F</t>
        </is>
      </c>
      <c r="G57" s="8" t="inlineStr">
        <is>
          <t>F</t>
        </is>
      </c>
      <c r="H57" s="8" t="inlineStr"/>
      <c r="I57" s="8">
        <f>IF(G57="","",IFERROR(VLOOKUP(G57,'Note e assunzioni'!$A$23:$B$32,2,FALSE),"Codice non mappato"))</f>
        <v/>
      </c>
      <c r="J57" s="8">
        <f>IF(Q57="Sì",IF(H57="",1,0.7),0)</f>
        <v/>
      </c>
      <c r="K57" s="8">
        <f>IF(H57="","",IFERROR(VLOOKUP(H57,'Note e assunzioni'!$A$23:$B$32,2,FALSE),"Codice non mappato"))</f>
        <v/>
      </c>
      <c r="L57" s="8">
        <f>IF(Q57="Sì",IF(H57="",0,0.3),0)</f>
        <v/>
      </c>
      <c r="M57" s="8" t="n">
        <v>1.5</v>
      </c>
      <c r="N57" s="8" t="n">
        <v>1</v>
      </c>
      <c r="O57" s="8">
        <f>IF('Input survey A'!$B$7="PMI",IF(M57="","",M57),IF(N57="","",N57))</f>
        <v/>
      </c>
      <c r="P57" s="8">
        <f>IFERROR(INDEX('Input survey A'!$C$12:$C$67,MATCH(C57,'Input survey A'!$A$12:$A$67,0)),"")</f>
        <v/>
      </c>
      <c r="Q57" s="8">
        <f>IF(F57="MAT","No",IF(G57="","No",IF(O57="","No",IF(OR(NOT(ISNUMBER(P57)),P57&lt;1,P57&gt;4),"No","Sì"))))</f>
        <v/>
      </c>
      <c r="R57" s="8">
        <f>IF(F57="MAT","MAT - esclusa dal calcolo matrice",IF(G57="","Cod. 1 assente",IF(O57="","Peso assente/non numerico",IF(NOT(ISNUMBER(P57)),"Risposta assente/non numerica",IF(OR(P57&lt;1,P57&gt;4),"Risposta fuori scala","Inclusa")))))</f>
        <v/>
      </c>
      <c r="S57" s="9">
        <f>IF(Q57="Sì",P57*O57*J57,0)</f>
        <v/>
      </c>
      <c r="T57" s="9">
        <f>IF(Q57="Sì",O57*J57,0)</f>
        <v/>
      </c>
      <c r="U57" s="9">
        <f>IF(Q57="Sì",P57*O57*L57,0)</f>
        <v/>
      </c>
      <c r="V57" s="9">
        <f>IF(Q57="Sì",O57*L57,0)</f>
        <v/>
      </c>
    </row>
    <row r="58">
      <c r="A58" s="8" t="inlineStr">
        <is>
          <t>BR</t>
        </is>
      </c>
      <c r="B58" s="8" t="n">
        <v>54</v>
      </c>
      <c r="C58" s="8" t="inlineStr">
        <is>
          <t>SQ11</t>
        </is>
      </c>
      <c r="D58" s="8" t="inlineStr">
        <is>
          <t>STRATEGIA</t>
        </is>
      </c>
      <c r="E58" s="8" t="inlineStr">
        <is>
          <t>STRATEGIA E PIANIFICAZIONE</t>
        </is>
      </c>
      <c r="F58" s="8" t="inlineStr">
        <is>
          <t>F/M</t>
        </is>
      </c>
      <c r="G58" s="8" t="inlineStr">
        <is>
          <t>F</t>
        </is>
      </c>
      <c r="H58" s="8" t="inlineStr">
        <is>
          <t>M</t>
        </is>
      </c>
      <c r="I58" s="8">
        <f>IF(G58="","",IFERROR(VLOOKUP(G58,'Note e assunzioni'!$A$23:$B$32,2,FALSE),"Codice non mappato"))</f>
        <v/>
      </c>
      <c r="J58" s="8">
        <f>IF(Q58="Sì",IF(H58="",1,0.7),0)</f>
        <v/>
      </c>
      <c r="K58" s="8">
        <f>IF(H58="","",IFERROR(VLOOKUP(H58,'Note e assunzioni'!$A$23:$B$32,2,FALSE),"Codice non mappato"))</f>
        <v/>
      </c>
      <c r="L58" s="8">
        <f>IF(Q58="Sì",IF(H58="",0,0.3),0)</f>
        <v/>
      </c>
      <c r="M58" s="8" t="n">
        <v>1.5</v>
      </c>
      <c r="N58" s="8" t="n">
        <v>1</v>
      </c>
      <c r="O58" s="8">
        <f>IF('Input survey A'!$B$7="PMI",IF(M58="","",M58),IF(N58="","",N58))</f>
        <v/>
      </c>
      <c r="P58" s="8">
        <f>IFERROR(INDEX('Input survey A'!$C$12:$C$67,MATCH(C58,'Input survey A'!$A$12:$A$67,0)),"")</f>
        <v/>
      </c>
      <c r="Q58" s="8">
        <f>IF(F58="MAT","No",IF(G58="","No",IF(O58="","No",IF(OR(NOT(ISNUMBER(P58)),P58&lt;1,P58&gt;4),"No","Sì"))))</f>
        <v/>
      </c>
      <c r="R58" s="8">
        <f>IF(F58="MAT","MAT - esclusa dal calcolo matrice",IF(G58="","Cod. 1 assente",IF(O58="","Peso assente/non numerico",IF(NOT(ISNUMBER(P58)),"Risposta assente/non numerica",IF(OR(P58&lt;1,P58&gt;4),"Risposta fuori scala","Inclusa")))))</f>
        <v/>
      </c>
      <c r="S58" s="9">
        <f>IF(Q58="Sì",P58*O58*J58,0)</f>
        <v/>
      </c>
      <c r="T58" s="9">
        <f>IF(Q58="Sì",O58*J58,0)</f>
        <v/>
      </c>
      <c r="U58" s="9">
        <f>IF(Q58="Sì",P58*O58*L58,0)</f>
        <v/>
      </c>
      <c r="V58" s="9">
        <f>IF(Q58="Sì",O58*L58,0)</f>
        <v/>
      </c>
    </row>
    <row r="59">
      <c r="A59" s="8" t="inlineStr">
        <is>
          <t>BS</t>
        </is>
      </c>
      <c r="B59" s="8" t="n">
        <v>55</v>
      </c>
      <c r="C59" s="8" t="inlineStr">
        <is>
          <t>SQ12</t>
        </is>
      </c>
      <c r="D59" s="8" t="inlineStr">
        <is>
          <t>STRATEGIA</t>
        </is>
      </c>
      <c r="E59" s="8" t="inlineStr">
        <is>
          <t>STRATEGIA E PIANIFICAZIONE</t>
        </is>
      </c>
      <c r="F59" s="8" t="inlineStr">
        <is>
          <t>F/M</t>
        </is>
      </c>
      <c r="G59" s="8" t="inlineStr">
        <is>
          <t>F</t>
        </is>
      </c>
      <c r="H59" s="8" t="inlineStr">
        <is>
          <t>M</t>
        </is>
      </c>
      <c r="I59" s="8">
        <f>IF(G59="","",IFERROR(VLOOKUP(G59,'Note e assunzioni'!$A$23:$B$32,2,FALSE),"Codice non mappato"))</f>
        <v/>
      </c>
      <c r="J59" s="8">
        <f>IF(Q59="Sì",IF(H59="",1,0.7),0)</f>
        <v/>
      </c>
      <c r="K59" s="8">
        <f>IF(H59="","",IFERROR(VLOOKUP(H59,'Note e assunzioni'!$A$23:$B$32,2,FALSE),"Codice non mappato"))</f>
        <v/>
      </c>
      <c r="L59" s="8">
        <f>IF(Q59="Sì",IF(H59="",0,0.3),0)</f>
        <v/>
      </c>
      <c r="M59" s="8" t="n">
        <v>3</v>
      </c>
      <c r="N59" s="8" t="n">
        <v>2</v>
      </c>
      <c r="O59" s="8">
        <f>IF('Input survey A'!$B$7="PMI",IF(M59="","",M59),IF(N59="","",N59))</f>
        <v/>
      </c>
      <c r="P59" s="8">
        <f>IFERROR(INDEX('Input survey A'!$C$12:$C$67,MATCH(C59,'Input survey A'!$A$12:$A$67,0)),"")</f>
        <v/>
      </c>
      <c r="Q59" s="8">
        <f>IF(F59="MAT","No",IF(G59="","No",IF(O59="","No",IF(OR(NOT(ISNUMBER(P59)),P59&lt;1,P59&gt;4),"No","Sì"))))</f>
        <v/>
      </c>
      <c r="R59" s="8">
        <f>IF(F59="MAT","MAT - esclusa dal calcolo matrice",IF(G59="","Cod. 1 assente",IF(O59="","Peso assente/non numerico",IF(NOT(ISNUMBER(P59)),"Risposta assente/non numerica",IF(OR(P59&lt;1,P59&gt;4),"Risposta fuori scala","Inclusa")))))</f>
        <v/>
      </c>
      <c r="S59" s="9">
        <f>IF(Q59="Sì",P59*O59*J59,0)</f>
        <v/>
      </c>
      <c r="T59" s="9">
        <f>IF(Q59="Sì",O59*J59,0)</f>
        <v/>
      </c>
      <c r="U59" s="9">
        <f>IF(Q59="Sì",P59*O59*L59,0)</f>
        <v/>
      </c>
      <c r="V59" s="9">
        <f>IF(Q59="Sì",O59*L59,0)</f>
        <v/>
      </c>
    </row>
  </sheetData>
  <autoFilter ref="A4:V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24" customWidth="1" min="4" max="4"/>
    <col width="15" customWidth="1" min="5" max="5"/>
    <col width="24" customWidth="1" min="6" max="6"/>
    <col width="12" customWidth="1" min="7" max="7"/>
    <col width="13" customWidth="1" min="8" max="8"/>
    <col width="13" customWidth="1" min="9" max="9"/>
    <col width="22" customWidth="1" min="10" max="10"/>
    <col width="62" customWidth="1" min="11" max="11"/>
    <col width="52" customWidth="1" min="12" max="12"/>
    <col width="14" customWidth="1" min="13" max="13"/>
    <col width="12" customWidth="1" min="14" max="14"/>
  </cols>
  <sheetData>
    <row r="1">
      <c r="A1" s="1" t="inlineStr">
        <is>
          <t>Calcoli matrice C</t>
        </is>
      </c>
    </row>
    <row r="2">
      <c r="A2" t="inlineStr">
        <is>
          <t>Confronto tema per tema: asse X praticata (survey) vs asse Y comunicata (reporting).</t>
        </is>
      </c>
    </row>
    <row r="3">
      <c r="A3" s="3" t="inlineStr">
        <is>
          <t>Caso survey (X)</t>
        </is>
      </c>
      <c r="B3" t="inlineStr">
        <is>
          <t>4BILD S.p.A.</t>
        </is>
      </c>
    </row>
    <row r="4">
      <c r="A4" s="3" t="inlineStr">
        <is>
          <t>Caso reporting (Y)</t>
        </is>
      </c>
      <c r="B4" t="inlineStr">
        <is>
          <t>4BILD S.p.A.</t>
        </is>
      </c>
    </row>
    <row r="5">
      <c r="A5" s="3" t="inlineStr">
        <is>
          <t>Soglia alta/bassa</t>
        </is>
      </c>
      <c r="B5" t="n">
        <v>2.5</v>
      </c>
    </row>
    <row r="6">
      <c r="A6" s="3" t="inlineStr">
        <is>
          <t>Regola alta/bassa</t>
        </is>
      </c>
      <c r="B6" t="inlineStr">
        <is>
          <t>Alta &gt; 2.50; Bassa &lt;= 2.50</t>
        </is>
      </c>
    </row>
    <row r="8" ht="30" customHeight="1">
      <c r="A8" s="6" t="inlineStr">
        <is>
          <t>Tema reporting</t>
        </is>
      </c>
      <c r="B8" s="6" t="inlineStr">
        <is>
          <t>Codice</t>
        </is>
      </c>
      <c r="C8" s="6" t="inlineStr">
        <is>
          <t>Score survey X (praticata)</t>
        </is>
      </c>
      <c r="D8" s="6" t="inlineStr">
        <is>
          <t>Livello survey</t>
        </is>
      </c>
      <c r="E8" s="6" t="inlineStr">
        <is>
          <t>Score reporting Y (comunicata)</t>
        </is>
      </c>
      <c r="F8" s="6" t="inlineStr">
        <is>
          <t>Livello reporting</t>
        </is>
      </c>
      <c r="G8" s="6" t="inlineStr">
        <is>
          <t>Differenza Y-X</t>
        </is>
      </c>
      <c r="H8" s="6" t="inlineStr">
        <is>
          <t>Maturita' survey</t>
        </is>
      </c>
      <c r="I8" s="6" t="inlineStr">
        <is>
          <t>Maturita' reporting</t>
        </is>
      </c>
      <c r="J8" s="6" t="inlineStr">
        <is>
          <t>Quadrante matrice</t>
        </is>
      </c>
      <c r="K8" s="6" t="inlineStr">
        <is>
          <t>Interpretazione sintetica</t>
        </is>
      </c>
      <c r="L8" s="6" t="inlineStr">
        <is>
          <t>Priorita' intervento</t>
        </is>
      </c>
      <c r="M8" s="6" t="inlineStr">
        <is>
          <t>Denominatore survey</t>
        </is>
      </c>
      <c r="N8" s="6" t="inlineStr">
        <is>
          <t>Check range</t>
        </is>
      </c>
    </row>
    <row r="9">
      <c r="A9" s="10" t="inlineStr">
        <is>
          <t>Foundation</t>
        </is>
      </c>
      <c r="B9" s="10" t="inlineStr">
        <is>
          <t>F</t>
        </is>
      </c>
      <c r="C9" s="11">
        <f>IFERROR((SUMIF('Mappatura A-B-C'!$I$5:$I$59,$A9,'Mappatura A-B-C'!$S$5:$S$59)+SUMIF('Mappatura A-B-C'!$K$5:$K$59,$A9,'Mappatura A-B-C'!$U$5:$U$59))/(SUMIF('Mappatura A-B-C'!$I$5:$I$59,$A9,'Mappatura A-B-C'!$T$5:$T$59)+SUMIF('Mappatura A-B-C'!$K$5:$K$59,$A9,'Mappatura A-B-C'!$V$5:$V$59)),"")</f>
        <v/>
      </c>
      <c r="D9" s="10">
        <f>IF(C9="","",IF(C9&lt;=1.5,"1 - Deriva - Discontinuo",IF(C9&lt;=2.5,"2 - Rotta - Strutturato",IF(C9&lt;=3.5,"3 - Orbita - Integrato","4 - Gravità - Sistemico / Consistente"))))</f>
        <v/>
      </c>
      <c r="E9" s="11">
        <f>SUMIF('Input reporting B'!$F$9:$F$18,$B$4&amp;"|"&amp;$A9,'Input reporting B'!$D$9:$D$18)</f>
        <v/>
      </c>
      <c r="F9" s="10">
        <f>IF(E9="","",IF(E9&lt;=1.5,"1 - Deriva - Discontinuo",IF(E9&lt;=2.5,"2 - Rotta - Strutturato",IF(E9&lt;=3.5,"3 - Orbita - Integrato","4 - Gravità - Sistemico / Consistente"))))</f>
        <v/>
      </c>
      <c r="G9" s="11">
        <f>IF(OR(C9="",E9=""),"",E9-C9)</f>
        <v/>
      </c>
      <c r="H9" s="10">
        <f>IF(C9="","",IF(C9&gt;$B$5,"Alta","Bassa"))</f>
        <v/>
      </c>
      <c r="I9" s="10">
        <f>IF(E9="","",IF(E9&gt;$B$5,"Alta","Bassa"))</f>
        <v/>
      </c>
      <c r="J9" s="10">
        <f>IF(AND(H9="Alta",I9="Alta"),"Allineamento virtuoso",IF(AND(H9="Alta",I9="Bassa"),"Potenziale nascosto",IF(AND(H9="Bassa",I9="Alta"),"Sovraesposizione","Area fragile")))</f>
        <v/>
      </c>
      <c r="K9" s="10">
        <f>IF(J9="Allineamento virtuoso","Area di coerenza: pratiche DEIA mature e disclosure strutturata risultano allineate.",IF(J9="Potenziale nascosto","Area di sottorendicontazione: pratiche più mature della disclosure esterna.",IF(J9="Sovraesposizione","Area di disallineamento comunicativo: la disclosure appare più avanzata della maturità praticata.","Area prioritaria di sviluppo: pratiche e disclosure risultano entrambe deboli.")))</f>
        <v/>
      </c>
      <c r="L9" s="10">
        <f>IF(J9="Area fragile","Alta - rafforzare congiuntamente pratiche e disclosure",IF(J9="Sovraesposizione","Alta - validare evidenze interne e rafforzare pratiche/policy",IF(J9="Potenziale nascosto","Media-Alta - migliorare qualità, granularità e completezza della disclosure","Bassa - consolidare e usare come benchmark interno")))</f>
        <v/>
      </c>
      <c r="M9" s="11">
        <f>(SUMIF('Mappatura A-B-C'!$I$5:$I$59,$A9,'Mappatura A-B-C'!$T$5:$T$59)+SUMIF('Mappatura A-B-C'!$K$5:$K$59,$A9,'Mappatura A-B-C'!$V$5:$V$59))</f>
        <v/>
      </c>
      <c r="N9" s="10">
        <f>IF(AND(C9&gt;=1,C9&lt;=4,E9&gt;=1,E9&lt;=4),"OK","ERRORE")</f>
        <v/>
      </c>
    </row>
    <row r="10">
      <c r="A10" s="10" t="inlineStr">
        <is>
          <t>HR</t>
        </is>
      </c>
      <c r="B10" s="10" t="inlineStr">
        <is>
          <t>HR</t>
        </is>
      </c>
      <c r="C10" s="11">
        <f>IFERROR((SUMIF('Mappatura A-B-C'!$I$5:$I$59,$A10,'Mappatura A-B-C'!$S$5:$S$59)+SUMIF('Mappatura A-B-C'!$K$5:$K$59,$A10,'Mappatura A-B-C'!$U$5:$U$59))/(SUMIF('Mappatura A-B-C'!$I$5:$I$59,$A10,'Mappatura A-B-C'!$T$5:$T$59)+SUMIF('Mappatura A-B-C'!$K$5:$K$59,$A10,'Mappatura A-B-C'!$V$5:$V$59)),"")</f>
        <v/>
      </c>
      <c r="D10" s="10">
        <f>IF(C10="","",IF(C10&lt;=1.5,"1 - Deriva - Discontinuo",IF(C10&lt;=2.5,"2 - Rotta - Strutturato",IF(C10&lt;=3.5,"3 - Orbita - Integrato","4 - Gravità - Sistemico / Consistente"))))</f>
        <v/>
      </c>
      <c r="E10" s="11">
        <f>SUMIF('Input reporting B'!$F$9:$F$18,$B$4&amp;"|"&amp;$A10,'Input reporting B'!$D$9:$D$18)</f>
        <v/>
      </c>
      <c r="F10" s="10">
        <f>IF(E10="","",IF(E10&lt;=1.5,"1 - Deriva - Discontinuo",IF(E10&lt;=2.5,"2 - Rotta - Strutturato",IF(E10&lt;=3.5,"3 - Orbita - Integrato","4 - Gravità - Sistemico / Consistente"))))</f>
        <v/>
      </c>
      <c r="G10" s="11">
        <f>IF(OR(C10="",E10=""),"",E10-C10)</f>
        <v/>
      </c>
      <c r="H10" s="10">
        <f>IF(C10="","",IF(C10&gt;$B$5,"Alta","Bassa"))</f>
        <v/>
      </c>
      <c r="I10" s="10">
        <f>IF(E10="","",IF(E10&gt;$B$5,"Alta","Bassa"))</f>
        <v/>
      </c>
      <c r="J10" s="10">
        <f>IF(AND(H10="Alta",I10="Alta"),"Allineamento virtuoso",IF(AND(H10="Alta",I10="Bassa"),"Potenziale nascosto",IF(AND(H10="Bassa",I10="Alta"),"Sovraesposizione","Area fragile")))</f>
        <v/>
      </c>
      <c r="K10" s="10">
        <f>IF(J10="Allineamento virtuoso","Area di coerenza: pratiche DEIA mature e disclosure strutturata risultano allineate.",IF(J10="Potenziale nascosto","Area di sottorendicontazione: pratiche più mature della disclosure esterna.",IF(J10="Sovraesposizione","Area di disallineamento comunicativo: la disclosure appare più avanzata della maturità praticata.","Area prioritaria di sviluppo: pratiche e disclosure risultano entrambe deboli.")))</f>
        <v/>
      </c>
      <c r="L10" s="10">
        <f>IF(J10="Area fragile","Alta - rafforzare congiuntamente pratiche e disclosure",IF(J10="Sovraesposizione","Alta - validare evidenze interne e rafforzare pratiche/policy",IF(J10="Potenziale nascosto","Media-Alta - migliorare qualità, granularità e completezza della disclosure","Bassa - consolidare e usare come benchmark interno")))</f>
        <v/>
      </c>
      <c r="M10" s="11">
        <f>(SUMIF('Mappatura A-B-C'!$I$5:$I$59,$A10,'Mappatura A-B-C'!$T$5:$T$59)+SUMIF('Mappatura A-B-C'!$K$5:$K$59,$A10,'Mappatura A-B-C'!$V$5:$V$59))</f>
        <v/>
      </c>
      <c r="N10" s="10">
        <f>IF(AND(C10&gt;=1,C10&lt;=4,E10&gt;=1,E10&lt;=4),"OK","ERRORE")</f>
        <v/>
      </c>
    </row>
    <row r="11">
      <c r="A11" s="10" t="inlineStr">
        <is>
          <t>Employment</t>
        </is>
      </c>
      <c r="B11" s="10" t="inlineStr">
        <is>
          <t>E</t>
        </is>
      </c>
      <c r="C11" s="11">
        <f>IFERROR((SUMIF('Mappatura A-B-C'!$I$5:$I$59,$A11,'Mappatura A-B-C'!$S$5:$S$59)+SUMIF('Mappatura A-B-C'!$K$5:$K$59,$A11,'Mappatura A-B-C'!$U$5:$U$59))/(SUMIF('Mappatura A-B-C'!$I$5:$I$59,$A11,'Mappatura A-B-C'!$T$5:$T$59)+SUMIF('Mappatura A-B-C'!$K$5:$K$59,$A11,'Mappatura A-B-C'!$V$5:$V$59)),"")</f>
        <v/>
      </c>
      <c r="D11" s="10">
        <f>IF(C11="","",IF(C11&lt;=1.5,"1 - Deriva - Discontinuo",IF(C11&lt;=2.5,"2 - Rotta - Strutturato",IF(C11&lt;=3.5,"3 - Orbita - Integrato","4 - Gravità - Sistemico / Consistente"))))</f>
        <v/>
      </c>
      <c r="E11" s="11">
        <f>SUMIF('Input reporting B'!$F$9:$F$18,$B$4&amp;"|"&amp;$A11,'Input reporting B'!$D$9:$D$18)</f>
        <v/>
      </c>
      <c r="F11" s="10">
        <f>IF(E11="","",IF(E11&lt;=1.5,"1 - Deriva - Discontinuo",IF(E11&lt;=2.5,"2 - Rotta - Strutturato",IF(E11&lt;=3.5,"3 - Orbita - Integrato","4 - Gravità - Sistemico / Consistente"))))</f>
        <v/>
      </c>
      <c r="G11" s="11">
        <f>IF(OR(C11="",E11=""),"",E11-C11)</f>
        <v/>
      </c>
      <c r="H11" s="10">
        <f>IF(C11="","",IF(C11&gt;$B$5,"Alta","Bassa"))</f>
        <v/>
      </c>
      <c r="I11" s="10">
        <f>IF(E11="","",IF(E11&gt;$B$5,"Alta","Bassa"))</f>
        <v/>
      </c>
      <c r="J11" s="10">
        <f>IF(AND(H11="Alta",I11="Alta"),"Allineamento virtuoso",IF(AND(H11="Alta",I11="Bassa"),"Potenziale nascosto",IF(AND(H11="Bassa",I11="Alta"),"Sovraesposizione","Area fragile")))</f>
        <v/>
      </c>
      <c r="K11" s="10">
        <f>IF(J11="Allineamento virtuoso","Area di coerenza: pratiche DEIA mature e disclosure strutturata risultano allineate.",IF(J11="Potenziale nascosto","Area di sottorendicontazione: pratiche più mature della disclosure esterna.",IF(J11="Sovraesposizione","Area di disallineamento comunicativo: la disclosure appare più avanzata della maturità praticata.","Area prioritaria di sviluppo: pratiche e disclosure risultano entrambe deboli.")))</f>
        <v/>
      </c>
      <c r="L11" s="10">
        <f>IF(J11="Area fragile","Alta - rafforzare congiuntamente pratiche e disclosure",IF(J11="Sovraesposizione","Alta - validare evidenze interne e rafforzare pratiche/policy",IF(J11="Potenziale nascosto","Media-Alta - migliorare qualità, granularità e completezza della disclosure","Bassa - consolidare e usare come benchmark interno")))</f>
        <v/>
      </c>
      <c r="M11" s="11">
        <f>(SUMIF('Mappatura A-B-C'!$I$5:$I$59,$A11,'Mappatura A-B-C'!$T$5:$T$59)+SUMIF('Mappatura A-B-C'!$K$5:$K$59,$A11,'Mappatura A-B-C'!$V$5:$V$59))</f>
        <v/>
      </c>
      <c r="N11" s="10">
        <f>IF(AND(C11&gt;=1,C11&lt;=4,E11&gt;=1,E11&lt;=4),"OK","ERRORE")</f>
        <v/>
      </c>
    </row>
    <row r="12">
      <c r="A12" s="10" t="inlineStr">
        <is>
          <t>Employees Engagement</t>
        </is>
      </c>
      <c r="B12" s="10" t="inlineStr">
        <is>
          <t>EE</t>
        </is>
      </c>
      <c r="C12" s="11">
        <f>IFERROR((SUMIF('Mappatura A-B-C'!$I$5:$I$59,$A12,'Mappatura A-B-C'!$S$5:$S$59)+SUMIF('Mappatura A-B-C'!$K$5:$K$59,$A12,'Mappatura A-B-C'!$U$5:$U$59))/(SUMIF('Mappatura A-B-C'!$I$5:$I$59,$A12,'Mappatura A-B-C'!$T$5:$T$59)+SUMIF('Mappatura A-B-C'!$K$5:$K$59,$A12,'Mappatura A-B-C'!$V$5:$V$59)),"")</f>
        <v/>
      </c>
      <c r="D12" s="10">
        <f>IF(C12="","",IF(C12&lt;=1.5,"1 - Deriva - Discontinuo",IF(C12&lt;=2.5,"2 - Rotta - Strutturato",IF(C12&lt;=3.5,"3 - Orbita - Integrato","4 - Gravità - Sistemico / Consistente"))))</f>
        <v/>
      </c>
      <c r="E12" s="11">
        <f>SUMIF('Input reporting B'!$F$9:$F$18,$B$4&amp;"|"&amp;$A12,'Input reporting B'!$D$9:$D$18)</f>
        <v/>
      </c>
      <c r="F12" s="10">
        <f>IF(E12="","",IF(E12&lt;=1.5,"1 - Deriva - Discontinuo",IF(E12&lt;=2.5,"2 - Rotta - Strutturato",IF(E12&lt;=3.5,"3 - Orbita - Integrato","4 - Gravità - Sistemico / Consistente"))))</f>
        <v/>
      </c>
      <c r="G12" s="11">
        <f>IF(OR(C12="",E12=""),"",E12-C12)</f>
        <v/>
      </c>
      <c r="H12" s="10">
        <f>IF(C12="","",IF(C12&gt;$B$5,"Alta","Bassa"))</f>
        <v/>
      </c>
      <c r="I12" s="10">
        <f>IF(E12="","",IF(E12&gt;$B$5,"Alta","Bassa"))</f>
        <v/>
      </c>
      <c r="J12" s="10">
        <f>IF(AND(H12="Alta",I12="Alta"),"Allineamento virtuoso",IF(AND(H12="Alta",I12="Bassa"),"Potenziale nascosto",IF(AND(H12="Bassa",I12="Alta"),"Sovraesposizione","Area fragile")))</f>
        <v/>
      </c>
      <c r="K12" s="10">
        <f>IF(J12="Allineamento virtuoso","Area di coerenza: pratiche DEIA mature e disclosure strutturata risultano allineate.",IF(J12="Potenziale nascosto","Area di sottorendicontazione: pratiche più mature della disclosure esterna.",IF(J12="Sovraesposizione","Area di disallineamento comunicativo: la disclosure appare più avanzata della maturità praticata.","Area prioritaria di sviluppo: pratiche e disclosure risultano entrambe deboli.")))</f>
        <v/>
      </c>
      <c r="L12" s="10">
        <f>IF(J12="Area fragile","Alta - rafforzare congiuntamente pratiche e disclosure",IF(J12="Sovraesposizione","Alta - validare evidenze interne e rafforzare pratiche/policy",IF(J12="Potenziale nascosto","Media-Alta - migliorare qualità, granularità e completezza della disclosure","Bassa - consolidare e usare come benchmark interno")))</f>
        <v/>
      </c>
      <c r="M12" s="11">
        <f>(SUMIF('Mappatura A-B-C'!$I$5:$I$59,$A12,'Mappatura A-B-C'!$T$5:$T$59)+SUMIF('Mappatura A-B-C'!$K$5:$K$59,$A12,'Mappatura A-B-C'!$V$5:$V$59))</f>
        <v/>
      </c>
      <c r="N12" s="10">
        <f>IF(AND(C12&gt;=1,C12&lt;=4,E12&gt;=1,E12&lt;=4),"OK","ERRORE")</f>
        <v/>
      </c>
    </row>
    <row r="13">
      <c r="A13" s="10" t="inlineStr">
        <is>
          <t>Education &amp; Training</t>
        </is>
      </c>
      <c r="B13" s="10" t="inlineStr">
        <is>
          <t>ET</t>
        </is>
      </c>
      <c r="C13" s="11">
        <f>IFERROR((SUMIF('Mappatura A-B-C'!$I$5:$I$59,$A13,'Mappatura A-B-C'!$S$5:$S$59)+SUMIF('Mappatura A-B-C'!$K$5:$K$59,$A13,'Mappatura A-B-C'!$U$5:$U$59))/(SUMIF('Mappatura A-B-C'!$I$5:$I$59,$A13,'Mappatura A-B-C'!$T$5:$T$59)+SUMIF('Mappatura A-B-C'!$K$5:$K$59,$A13,'Mappatura A-B-C'!$V$5:$V$59)),"")</f>
        <v/>
      </c>
      <c r="D13" s="10">
        <f>IF(C13="","",IF(C13&lt;=1.5,"1 - Deriva - Discontinuo",IF(C13&lt;=2.5,"2 - Rotta - Strutturato",IF(C13&lt;=3.5,"3 - Orbita - Integrato","4 - Gravità - Sistemico / Consistente"))))</f>
        <v/>
      </c>
      <c r="E13" s="11">
        <f>SUMIF('Input reporting B'!$F$9:$F$18,$B$4&amp;"|"&amp;$A13,'Input reporting B'!$D$9:$D$18)</f>
        <v/>
      </c>
      <c r="F13" s="10">
        <f>IF(E13="","",IF(E13&lt;=1.5,"1 - Deriva - Discontinuo",IF(E13&lt;=2.5,"2 - Rotta - Strutturato",IF(E13&lt;=3.5,"3 - Orbita - Integrato","4 - Gravità - Sistemico / Consistente"))))</f>
        <v/>
      </c>
      <c r="G13" s="11">
        <f>IF(OR(C13="",E13=""),"",E13-C13)</f>
        <v/>
      </c>
      <c r="H13" s="10">
        <f>IF(C13="","",IF(C13&gt;$B$5,"Alta","Bassa"))</f>
        <v/>
      </c>
      <c r="I13" s="10">
        <f>IF(E13="","",IF(E13&gt;$B$5,"Alta","Bassa"))</f>
        <v/>
      </c>
      <c r="J13" s="10">
        <f>IF(AND(H13="Alta",I13="Alta"),"Allineamento virtuoso",IF(AND(H13="Alta",I13="Bassa"),"Potenziale nascosto",IF(AND(H13="Bassa",I13="Alta"),"Sovraesposizione","Area fragile")))</f>
        <v/>
      </c>
      <c r="K13" s="10">
        <f>IF(J13="Allineamento virtuoso","Area di coerenza: pratiche DEIA mature e disclosure strutturata risultano allineate.",IF(J13="Potenziale nascosto","Area di sottorendicontazione: pratiche più mature della disclosure esterna.",IF(J13="Sovraesposizione","Area di disallineamento comunicativo: la disclosure appare più avanzata della maturità praticata.","Area prioritaria di sviluppo: pratiche e disclosure risultano entrambe deboli.")))</f>
        <v/>
      </c>
      <c r="L13" s="10">
        <f>IF(J13="Area fragile","Alta - rafforzare congiuntamente pratiche e disclosure",IF(J13="Sovraesposizione","Alta - validare evidenze interne e rafforzare pratiche/policy",IF(J13="Potenziale nascosto","Media-Alta - migliorare qualità, granularità e completezza della disclosure","Bassa - consolidare e usare come benchmark interno")))</f>
        <v/>
      </c>
      <c r="M13" s="11">
        <f>(SUMIF('Mappatura A-B-C'!$I$5:$I$59,$A13,'Mappatura A-B-C'!$T$5:$T$59)+SUMIF('Mappatura A-B-C'!$K$5:$K$59,$A13,'Mappatura A-B-C'!$V$5:$V$59))</f>
        <v/>
      </c>
      <c r="N13" s="10">
        <f>IF(AND(C13&gt;=1,C13&lt;=4,E13&gt;=1,E13&lt;=4),"OK","ERRORE")</f>
        <v/>
      </c>
    </row>
    <row r="14">
      <c r="A14" s="10" t="inlineStr">
        <is>
          <t>Non-discrimination</t>
        </is>
      </c>
      <c r="B14" s="10" t="inlineStr">
        <is>
          <t>ND</t>
        </is>
      </c>
      <c r="C14" s="11">
        <f>IFERROR((SUMIF('Mappatura A-B-C'!$I$5:$I$59,$A14,'Mappatura A-B-C'!$S$5:$S$59)+SUMIF('Mappatura A-B-C'!$K$5:$K$59,$A14,'Mappatura A-B-C'!$U$5:$U$59))/(SUMIF('Mappatura A-B-C'!$I$5:$I$59,$A14,'Mappatura A-B-C'!$T$5:$T$59)+SUMIF('Mappatura A-B-C'!$K$5:$K$59,$A14,'Mappatura A-B-C'!$V$5:$V$59)),"")</f>
        <v/>
      </c>
      <c r="D14" s="10">
        <f>IF(C14="","",IF(C14&lt;=1.5,"1 - Deriva - Discontinuo",IF(C14&lt;=2.5,"2 - Rotta - Strutturato",IF(C14&lt;=3.5,"3 - Orbita - Integrato","4 - Gravità - Sistemico / Consistente"))))</f>
        <v/>
      </c>
      <c r="E14" s="11">
        <f>SUMIF('Input reporting B'!$F$9:$F$18,$B$4&amp;"|"&amp;$A14,'Input reporting B'!$D$9:$D$18)</f>
        <v/>
      </c>
      <c r="F14" s="10">
        <f>IF(E14="","",IF(E14&lt;=1.5,"1 - Deriva - Discontinuo",IF(E14&lt;=2.5,"2 - Rotta - Strutturato",IF(E14&lt;=3.5,"3 - Orbita - Integrato","4 - Gravità - Sistemico / Consistente"))))</f>
        <v/>
      </c>
      <c r="G14" s="11">
        <f>IF(OR(C14="",E14=""),"",E14-C14)</f>
        <v/>
      </c>
      <c r="H14" s="10">
        <f>IF(C14="","",IF(C14&gt;$B$5,"Alta","Bassa"))</f>
        <v/>
      </c>
      <c r="I14" s="10">
        <f>IF(E14="","",IF(E14&gt;$B$5,"Alta","Bassa"))</f>
        <v/>
      </c>
      <c r="J14" s="10">
        <f>IF(AND(H14="Alta",I14="Alta"),"Allineamento virtuoso",IF(AND(H14="Alta",I14="Bassa"),"Potenziale nascosto",IF(AND(H14="Bassa",I14="Alta"),"Sovraesposizione","Area fragile")))</f>
        <v/>
      </c>
      <c r="K14" s="10">
        <f>IF(J14="Allineamento virtuoso","Area di coerenza: pratiche DEIA mature e disclosure strutturata risultano allineate.",IF(J14="Potenziale nascosto","Area di sottorendicontazione: pratiche più mature della disclosure esterna.",IF(J14="Sovraesposizione","Area di disallineamento comunicativo: la disclosure appare più avanzata della maturità praticata.","Area prioritaria di sviluppo: pratiche e disclosure risultano entrambe deboli.")))</f>
        <v/>
      </c>
      <c r="L14" s="10">
        <f>IF(J14="Area fragile","Alta - rafforzare congiuntamente pratiche e disclosure",IF(J14="Sovraesposizione","Alta - validare evidenze interne e rafforzare pratiche/policy",IF(J14="Potenziale nascosto","Media-Alta - migliorare qualità, granularità e completezza della disclosure","Bassa - consolidare e usare come benchmark interno")))</f>
        <v/>
      </c>
      <c r="M14" s="11">
        <f>(SUMIF('Mappatura A-B-C'!$I$5:$I$59,$A14,'Mappatura A-B-C'!$T$5:$T$59)+SUMIF('Mappatura A-B-C'!$K$5:$K$59,$A14,'Mappatura A-B-C'!$V$5:$V$59))</f>
        <v/>
      </c>
      <c r="N14" s="10">
        <f>IF(AND(C14&gt;=1,C14&lt;=4,E14&gt;=1,E14&lt;=4),"OK","ERRORE")</f>
        <v/>
      </c>
    </row>
    <row r="15">
      <c r="A15" s="10" t="inlineStr">
        <is>
          <t>Monitoring</t>
        </is>
      </c>
      <c r="B15" s="10" t="inlineStr">
        <is>
          <t>M</t>
        </is>
      </c>
      <c r="C15" s="11">
        <f>IFERROR((SUMIF('Mappatura A-B-C'!$I$5:$I$59,$A15,'Mappatura A-B-C'!$S$5:$S$59)+SUMIF('Mappatura A-B-C'!$K$5:$K$59,$A15,'Mappatura A-B-C'!$U$5:$U$59))/(SUMIF('Mappatura A-B-C'!$I$5:$I$59,$A15,'Mappatura A-B-C'!$T$5:$T$59)+SUMIF('Mappatura A-B-C'!$K$5:$K$59,$A15,'Mappatura A-B-C'!$V$5:$V$59)),"")</f>
        <v/>
      </c>
      <c r="D15" s="10">
        <f>IF(C15="","",IF(C15&lt;=1.5,"1 - Deriva - Discontinuo",IF(C15&lt;=2.5,"2 - Rotta - Strutturato",IF(C15&lt;=3.5,"3 - Orbita - Integrato","4 - Gravità - Sistemico / Consistente"))))</f>
        <v/>
      </c>
      <c r="E15" s="11">
        <f>SUMIF('Input reporting B'!$F$9:$F$18,$B$4&amp;"|"&amp;$A15,'Input reporting B'!$D$9:$D$18)</f>
        <v/>
      </c>
      <c r="F15" s="10">
        <f>IF(E15="","",IF(E15&lt;=1.5,"1 - Deriva - Discontinuo",IF(E15&lt;=2.5,"2 - Rotta - Strutturato",IF(E15&lt;=3.5,"3 - Orbita - Integrato","4 - Gravità - Sistemico / Consistente"))))</f>
        <v/>
      </c>
      <c r="G15" s="11">
        <f>IF(OR(C15="",E15=""),"",E15-C15)</f>
        <v/>
      </c>
      <c r="H15" s="10">
        <f>IF(C15="","",IF(C15&gt;$B$5,"Alta","Bassa"))</f>
        <v/>
      </c>
      <c r="I15" s="10">
        <f>IF(E15="","",IF(E15&gt;$B$5,"Alta","Bassa"))</f>
        <v/>
      </c>
      <c r="J15" s="10">
        <f>IF(AND(H15="Alta",I15="Alta"),"Allineamento virtuoso",IF(AND(H15="Alta",I15="Bassa"),"Potenziale nascosto",IF(AND(H15="Bassa",I15="Alta"),"Sovraesposizione","Area fragile")))</f>
        <v/>
      </c>
      <c r="K15" s="10">
        <f>IF(J15="Allineamento virtuoso","Area di coerenza: pratiche DEIA mature e disclosure strutturata risultano allineate.",IF(J15="Potenziale nascosto","Area di sottorendicontazione: pratiche più mature della disclosure esterna.",IF(J15="Sovraesposizione","Area di disallineamento comunicativo: la disclosure appare più avanzata della maturità praticata.","Area prioritaria di sviluppo: pratiche e disclosure risultano entrambe deboli.")))</f>
        <v/>
      </c>
      <c r="L15" s="10">
        <f>IF(J15="Area fragile","Alta - rafforzare congiuntamente pratiche e disclosure",IF(J15="Sovraesposizione","Alta - validare evidenze interne e rafforzare pratiche/policy",IF(J15="Potenziale nascosto","Media-Alta - migliorare qualità, granularità e completezza della disclosure","Bassa - consolidare e usare come benchmark interno")))</f>
        <v/>
      </c>
      <c r="M15" s="11">
        <f>(SUMIF('Mappatura A-B-C'!$I$5:$I$59,$A15,'Mappatura A-B-C'!$T$5:$T$59)+SUMIF('Mappatura A-B-C'!$K$5:$K$59,$A15,'Mappatura A-B-C'!$V$5:$V$59))</f>
        <v/>
      </c>
      <c r="N15" s="10">
        <f>IF(AND(C15&gt;=1,C15&lt;=4,E15&gt;=1,E15&lt;=4),"OK","ERRORE")</f>
        <v/>
      </c>
    </row>
    <row r="16">
      <c r="A16" s="10" t="inlineStr">
        <is>
          <t>Supply Chain Diversity</t>
        </is>
      </c>
      <c r="B16" s="10" t="inlineStr">
        <is>
          <t>SC</t>
        </is>
      </c>
      <c r="C16" s="11">
        <f>IFERROR((SUMIF('Mappatura A-B-C'!$I$5:$I$59,$A16,'Mappatura A-B-C'!$S$5:$S$59)+SUMIF('Mappatura A-B-C'!$K$5:$K$59,$A16,'Mappatura A-B-C'!$U$5:$U$59))/(SUMIF('Mappatura A-B-C'!$I$5:$I$59,$A16,'Mappatura A-B-C'!$T$5:$T$59)+SUMIF('Mappatura A-B-C'!$K$5:$K$59,$A16,'Mappatura A-B-C'!$V$5:$V$59)),"")</f>
        <v/>
      </c>
      <c r="D16" s="10">
        <f>IF(C16="","",IF(C16&lt;=1.5,"1 - Deriva - Discontinuo",IF(C16&lt;=2.5,"2 - Rotta - Strutturato",IF(C16&lt;=3.5,"3 - Orbita - Integrato","4 - Gravità - Sistemico / Consistente"))))</f>
        <v/>
      </c>
      <c r="E16" s="11">
        <f>SUMIF('Input reporting B'!$F$9:$F$18,$B$4&amp;"|"&amp;$A16,'Input reporting B'!$D$9:$D$18)</f>
        <v/>
      </c>
      <c r="F16" s="10">
        <f>IF(E16="","",IF(E16&lt;=1.5,"1 - Deriva - Discontinuo",IF(E16&lt;=2.5,"2 - Rotta - Strutturato",IF(E16&lt;=3.5,"3 - Orbita - Integrato","4 - Gravità - Sistemico / Consistente"))))</f>
        <v/>
      </c>
      <c r="G16" s="11">
        <f>IF(OR(C16="",E16=""),"",E16-C16)</f>
        <v/>
      </c>
      <c r="H16" s="10">
        <f>IF(C16="","",IF(C16&gt;$B$5,"Alta","Bassa"))</f>
        <v/>
      </c>
      <c r="I16" s="10">
        <f>IF(E16="","",IF(E16&gt;$B$5,"Alta","Bassa"))</f>
        <v/>
      </c>
      <c r="J16" s="10">
        <f>IF(AND(H16="Alta",I16="Alta"),"Allineamento virtuoso",IF(AND(H16="Alta",I16="Bassa"),"Potenziale nascosto",IF(AND(H16="Bassa",I16="Alta"),"Sovraesposizione","Area fragile")))</f>
        <v/>
      </c>
      <c r="K16" s="10">
        <f>IF(J16="Allineamento virtuoso","Area di coerenza: pratiche DEIA mature e disclosure strutturata risultano allineate.",IF(J16="Potenziale nascosto","Area di sottorendicontazione: pratiche più mature della disclosure esterna.",IF(J16="Sovraesposizione","Area di disallineamento comunicativo: la disclosure appare più avanzata della maturità praticata.","Area prioritaria di sviluppo: pratiche e disclosure risultano entrambe deboli.")))</f>
        <v/>
      </c>
      <c r="L16" s="10">
        <f>IF(J16="Area fragile","Alta - rafforzare congiuntamente pratiche e disclosure",IF(J16="Sovraesposizione","Alta - validare evidenze interne e rafforzare pratiche/policy",IF(J16="Potenziale nascosto","Media-Alta - migliorare qualità, granularità e completezza della disclosure","Bassa - consolidare e usare come benchmark interno")))</f>
        <v/>
      </c>
      <c r="M16" s="11">
        <f>(SUMIF('Mappatura A-B-C'!$I$5:$I$59,$A16,'Mappatura A-B-C'!$T$5:$T$59)+SUMIF('Mappatura A-B-C'!$K$5:$K$59,$A16,'Mappatura A-B-C'!$V$5:$V$59))</f>
        <v/>
      </c>
      <c r="N16" s="10">
        <f>IF(AND(C16&gt;=1,C16&lt;=4,E16&gt;=1,E16&lt;=4),"OK","ERRORE")</f>
        <v/>
      </c>
    </row>
    <row r="17">
      <c r="A17" s="10" t="inlineStr">
        <is>
          <t>Communities</t>
        </is>
      </c>
      <c r="B17" s="10" t="inlineStr">
        <is>
          <t>C</t>
        </is>
      </c>
      <c r="C17" s="11">
        <f>IFERROR((SUMIF('Mappatura A-B-C'!$I$5:$I$59,$A17,'Mappatura A-B-C'!$S$5:$S$59)+SUMIF('Mappatura A-B-C'!$K$5:$K$59,$A17,'Mappatura A-B-C'!$U$5:$U$59))/(SUMIF('Mappatura A-B-C'!$I$5:$I$59,$A17,'Mappatura A-B-C'!$T$5:$T$59)+SUMIF('Mappatura A-B-C'!$K$5:$K$59,$A17,'Mappatura A-B-C'!$V$5:$V$59)),"")</f>
        <v/>
      </c>
      <c r="D17" s="10">
        <f>IF(C17="","",IF(C17&lt;=1.5,"1 - Deriva - Discontinuo",IF(C17&lt;=2.5,"2 - Rotta - Strutturato",IF(C17&lt;=3.5,"3 - Orbita - Integrato","4 - Gravità - Sistemico / Consistente"))))</f>
        <v/>
      </c>
      <c r="E17" s="11">
        <f>SUMIF('Input reporting B'!$F$9:$F$18,$B$4&amp;"|"&amp;$A17,'Input reporting B'!$D$9:$D$18)</f>
        <v/>
      </c>
      <c r="F17" s="10">
        <f>IF(E17="","",IF(E17&lt;=1.5,"1 - Deriva - Discontinuo",IF(E17&lt;=2.5,"2 - Rotta - Strutturato",IF(E17&lt;=3.5,"3 - Orbita - Integrato","4 - Gravità - Sistemico / Consistente"))))</f>
        <v/>
      </c>
      <c r="G17" s="11">
        <f>IF(OR(C17="",E17=""),"",E17-C17)</f>
        <v/>
      </c>
      <c r="H17" s="10">
        <f>IF(C17="","",IF(C17&gt;$B$5,"Alta","Bassa"))</f>
        <v/>
      </c>
      <c r="I17" s="10">
        <f>IF(E17="","",IF(E17&gt;$B$5,"Alta","Bassa"))</f>
        <v/>
      </c>
      <c r="J17" s="10">
        <f>IF(AND(H17="Alta",I17="Alta"),"Allineamento virtuoso",IF(AND(H17="Alta",I17="Bassa"),"Potenziale nascosto",IF(AND(H17="Bassa",I17="Alta"),"Sovraesposizione","Area fragile")))</f>
        <v/>
      </c>
      <c r="K17" s="10">
        <f>IF(J17="Allineamento virtuoso","Area di coerenza: pratiche DEIA mature e disclosure strutturata risultano allineate.",IF(J17="Potenziale nascosto","Area di sottorendicontazione: pratiche più mature della disclosure esterna.",IF(J17="Sovraesposizione","Area di disallineamento comunicativo: la disclosure appare più avanzata della maturità praticata.","Area prioritaria di sviluppo: pratiche e disclosure risultano entrambe deboli.")))</f>
        <v/>
      </c>
      <c r="L17" s="10">
        <f>IF(J17="Area fragile","Alta - rafforzare congiuntamente pratiche e disclosure",IF(J17="Sovraesposizione","Alta - validare evidenze interne e rafforzare pratiche/policy",IF(J17="Potenziale nascosto","Media-Alta - migliorare qualità, granularità e completezza della disclosure","Bassa - consolidare e usare come benchmark interno")))</f>
        <v/>
      </c>
      <c r="M17" s="11">
        <f>(SUMIF('Mappatura A-B-C'!$I$5:$I$59,$A17,'Mappatura A-B-C'!$T$5:$T$59)+SUMIF('Mappatura A-B-C'!$K$5:$K$59,$A17,'Mappatura A-B-C'!$V$5:$V$59))</f>
        <v/>
      </c>
      <c r="N17" s="10">
        <f>IF(AND(C17&gt;=1,C17&lt;=4,E17&gt;=1,E17&lt;=4),"OK","ERRORE")</f>
        <v/>
      </c>
    </row>
    <row r="18">
      <c r="A18" s="10" t="inlineStr">
        <is>
          <t>End-users</t>
        </is>
      </c>
      <c r="B18" s="10" t="inlineStr">
        <is>
          <t>EU</t>
        </is>
      </c>
      <c r="C18" s="11">
        <f>IFERROR((SUMIF('Mappatura A-B-C'!$I$5:$I$59,$A18,'Mappatura A-B-C'!$S$5:$S$59)+SUMIF('Mappatura A-B-C'!$K$5:$K$59,$A18,'Mappatura A-B-C'!$U$5:$U$59))/(SUMIF('Mappatura A-B-C'!$I$5:$I$59,$A18,'Mappatura A-B-C'!$T$5:$T$59)+SUMIF('Mappatura A-B-C'!$K$5:$K$59,$A18,'Mappatura A-B-C'!$V$5:$V$59)),"")</f>
        <v/>
      </c>
      <c r="D18" s="10">
        <f>IF(C18="","",IF(C18&lt;=1.5,"1 - Deriva - Discontinuo",IF(C18&lt;=2.5,"2 - Rotta - Strutturato",IF(C18&lt;=3.5,"3 - Orbita - Integrato","4 - Gravità - Sistemico / Consistente"))))</f>
        <v/>
      </c>
      <c r="E18" s="11">
        <f>SUMIF('Input reporting B'!$F$9:$F$18,$B$4&amp;"|"&amp;$A18,'Input reporting B'!$D$9:$D$18)</f>
        <v/>
      </c>
      <c r="F18" s="10">
        <f>IF(E18="","",IF(E18&lt;=1.5,"1 - Deriva - Discontinuo",IF(E18&lt;=2.5,"2 - Rotta - Strutturato",IF(E18&lt;=3.5,"3 - Orbita - Integrato","4 - Gravità - Sistemico / Consistente"))))</f>
        <v/>
      </c>
      <c r="G18" s="11">
        <f>IF(OR(C18="",E18=""),"",E18-C18)</f>
        <v/>
      </c>
      <c r="H18" s="10">
        <f>IF(C18="","",IF(C18&gt;$B$5,"Alta","Bassa"))</f>
        <v/>
      </c>
      <c r="I18" s="10">
        <f>IF(E18="","",IF(E18&gt;$B$5,"Alta","Bassa"))</f>
        <v/>
      </c>
      <c r="J18" s="10">
        <f>IF(AND(H18="Alta",I18="Alta"),"Allineamento virtuoso",IF(AND(H18="Alta",I18="Bassa"),"Potenziale nascosto",IF(AND(H18="Bassa",I18="Alta"),"Sovraesposizione","Area fragile")))</f>
        <v/>
      </c>
      <c r="K18" s="10">
        <f>IF(J18="Allineamento virtuoso","Area di coerenza: pratiche DEIA mature e disclosure strutturata risultano allineate.",IF(J18="Potenziale nascosto","Area di sottorendicontazione: pratiche più mature della disclosure esterna.",IF(J18="Sovraesposizione","Area di disallineamento comunicativo: la disclosure appare più avanzata della maturità praticata.","Area prioritaria di sviluppo: pratiche e disclosure risultano entrambe deboli.")))</f>
        <v/>
      </c>
      <c r="L18" s="10">
        <f>IF(J18="Area fragile","Alta - rafforzare congiuntamente pratiche e disclosure",IF(J18="Sovraesposizione","Alta - validare evidenze interne e rafforzare pratiche/policy",IF(J18="Potenziale nascosto","Media-Alta - migliorare qualità, granularità e completezza della disclosure","Bassa - consolidare e usare come benchmark interno")))</f>
        <v/>
      </c>
      <c r="M18" s="11">
        <f>(SUMIF('Mappatura A-B-C'!$I$5:$I$59,$A18,'Mappatura A-B-C'!$T$5:$T$59)+SUMIF('Mappatura A-B-C'!$K$5:$K$59,$A18,'Mappatura A-B-C'!$V$5:$V$59))</f>
        <v/>
      </c>
      <c r="N18" s="10">
        <f>IF(AND(C18&gt;=1,C18&lt;=4,E18&gt;=1,E18&lt;=4),"OK","ERRORE")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22" customWidth="1" min="4" max="4"/>
    <col width="52" customWidth="1" min="5" max="5"/>
    <col width="3" customWidth="1" min="6" max="6"/>
    <col width="3" customWidth="1" min="7" max="7"/>
    <col width="26" customWidth="1" min="8" max="8"/>
    <col width="12" customWidth="1" min="9" max="9"/>
    <col width="12" customWidth="1" min="10" max="10"/>
  </cols>
  <sheetData>
    <row r="1">
      <c r="A1" s="1" t="inlineStr">
        <is>
          <t>Matrice trasparenza</t>
        </is>
      </c>
    </row>
    <row r="2">
      <c r="A2" t="inlineStr">
        <is>
          <t>Posizionamento dei temi nei quattro quadranti.</t>
        </is>
      </c>
    </row>
    <row r="3">
      <c r="A3" s="3" t="inlineStr">
        <is>
          <t>Asse X</t>
        </is>
      </c>
      <c r="B3" t="inlineStr">
        <is>
          <t>Maturita' DEIA praticata (survey Qualtrics)</t>
        </is>
      </c>
    </row>
    <row r="4">
      <c r="A4" s="3" t="inlineStr">
        <is>
          <t>Asse Y</t>
        </is>
      </c>
      <c r="B4" t="inlineStr">
        <is>
          <t>Maturita' DEIA comunicata (content analysis reporting)</t>
        </is>
      </c>
    </row>
    <row r="5">
      <c r="A5" s="3" t="inlineStr">
        <is>
          <t>Soglia alta/bassa</t>
        </is>
      </c>
      <c r="B5">
        <f>'Calcoli matrice C'!$B$5</f>
        <v/>
      </c>
    </row>
    <row r="8">
      <c r="B8" s="12" t="inlineStr">
        <is>
          <t>Bassa maturita' survey (&lt;=2.50)</t>
        </is>
      </c>
      <c r="C8" s="12" t="inlineStr">
        <is>
          <t>Alta maturita' survey (&gt;2.50)</t>
        </is>
      </c>
    </row>
    <row r="9" ht="130" customHeight="1">
      <c r="A9" s="12" t="inlineStr">
        <is>
          <t>Alta maturita' reporting (&gt;2.50)</t>
        </is>
      </c>
      <c r="B9" s="13">
        <f>"SOVRAESPOSIZIONE"&amp;CHAR(10)&amp;IF(_xlfn.TEXTJOIN(CHAR(10),TRUE,P16:P25)="","Nessun tema",_xlfn.TEXTJOIN(CHAR(10),TRUE,P16:P25))</f>
        <v/>
      </c>
      <c r="C9" s="14">
        <f>"ALLINEAMENTO VIRTUOSO"&amp;CHAR(10)&amp;IF(_xlfn.TEXTJOIN(CHAR(10),TRUE,Q16:Q25)="","Nessun tema",_xlfn.TEXTJOIN(CHAR(10),TRUE,Q16:Q25))</f>
        <v/>
      </c>
    </row>
    <row r="10" ht="130" customHeight="1">
      <c r="A10" s="12" t="inlineStr">
        <is>
          <t>Bassa maturita' reporting (&lt;=2.50)</t>
        </is>
      </c>
      <c r="B10" s="15">
        <f>"AREA FRAGILE"&amp;CHAR(10)&amp;IF(_xlfn.TEXTJOIN(CHAR(10),TRUE,R16:R25)="","Nessun tema",_xlfn.TEXTJOIN(CHAR(10),TRUE,R16:R25))</f>
        <v/>
      </c>
      <c r="C10" s="16">
        <f>"POTENZIALE NASCOSTO"&amp;CHAR(10)&amp;IF(_xlfn.TEXTJOIN(CHAR(10),TRUE,S16:S25)="","Nessun tema",_xlfn.TEXTJOIN(CHAR(10),TRUE,S16:S25))</f>
        <v/>
      </c>
    </row>
    <row r="15" ht="30" customHeight="1">
      <c r="A15" s="6" t="inlineStr">
        <is>
          <t>Tema</t>
        </is>
      </c>
      <c r="B15" s="6" t="inlineStr">
        <is>
          <t>Score survey X</t>
        </is>
      </c>
      <c r="C15" s="6" t="inlineStr">
        <is>
          <t>Score reporting Y</t>
        </is>
      </c>
      <c r="D15" s="6" t="inlineStr">
        <is>
          <t>Quadrante</t>
        </is>
      </c>
      <c r="E15" s="6" t="inlineStr">
        <is>
          <t>Priorita'</t>
        </is>
      </c>
      <c r="F15" s="6" t="inlineStr"/>
      <c r="G15" s="6" t="inlineStr"/>
      <c r="H15" s="6" t="inlineStr">
        <is>
          <t>Tema chart</t>
        </is>
      </c>
      <c r="I15" s="6" t="inlineStr">
        <is>
          <t>X survey</t>
        </is>
      </c>
      <c r="J15" s="6" t="inlineStr">
        <is>
          <t>Y reporting</t>
        </is>
      </c>
      <c r="P15" s="3" t="inlineStr">
        <is>
          <t>app. Sovraesp.</t>
        </is>
      </c>
      <c r="Q15" s="3" t="inlineStr">
        <is>
          <t>app. Allin.</t>
        </is>
      </c>
      <c r="R15" s="3" t="inlineStr">
        <is>
          <t>app. Fragile</t>
        </is>
      </c>
      <c r="S15" s="3" t="inlineStr">
        <is>
          <t>app. Potenz.</t>
        </is>
      </c>
    </row>
    <row r="16">
      <c r="A16" s="8">
        <f>'Calcoli matrice C'!A9</f>
        <v/>
      </c>
      <c r="B16" s="17">
        <f>'Calcoli matrice C'!C9</f>
        <v/>
      </c>
      <c r="C16" s="17">
        <f>'Calcoli matrice C'!E9</f>
        <v/>
      </c>
      <c r="D16" s="18">
        <f>'Calcoli matrice C'!J9</f>
        <v/>
      </c>
      <c r="E16" s="8">
        <f>'Calcoli matrice C'!L9</f>
        <v/>
      </c>
      <c r="H16" s="8" t="inlineStr">
        <is>
          <t>Foundation</t>
        </is>
      </c>
      <c r="I16" s="17" t="n">
        <v>1.860215</v>
      </c>
      <c r="J16" s="17" t="n">
        <v>4</v>
      </c>
      <c r="P16">
        <f>IF('Calcoli matrice C'!$J$9="Sovraesposizione",'Calcoli matrice C'!$A$9,"")</f>
        <v/>
      </c>
      <c r="Q16">
        <f>IF('Calcoli matrice C'!$J$9="Allineamento virtuoso",'Calcoli matrice C'!$A$9,"")</f>
        <v/>
      </c>
      <c r="R16">
        <f>IF('Calcoli matrice C'!$J$9="Area fragile",'Calcoli matrice C'!$A$9,"")</f>
        <v/>
      </c>
      <c r="S16">
        <f>IF('Calcoli matrice C'!$J$9="Potenziale nascosto",'Calcoli matrice C'!$A$9,"")</f>
        <v/>
      </c>
    </row>
    <row r="17">
      <c r="A17" s="8">
        <f>'Calcoli matrice C'!A10</f>
        <v/>
      </c>
      <c r="B17" s="17">
        <f>'Calcoli matrice C'!C10</f>
        <v/>
      </c>
      <c r="C17" s="17">
        <f>'Calcoli matrice C'!E10</f>
        <v/>
      </c>
      <c r="D17" s="19">
        <f>'Calcoli matrice C'!J10</f>
        <v/>
      </c>
      <c r="E17" s="8">
        <f>'Calcoli matrice C'!L10</f>
        <v/>
      </c>
      <c r="H17" s="8" t="inlineStr">
        <is>
          <t>HR</t>
        </is>
      </c>
      <c r="I17" s="17" t="n">
        <v>2.558511</v>
      </c>
      <c r="J17" s="17" t="n">
        <v>3</v>
      </c>
      <c r="P17">
        <f>IF('Calcoli matrice C'!$J$10="Sovraesposizione",'Calcoli matrice C'!$A$10,"")</f>
        <v/>
      </c>
      <c r="Q17">
        <f>IF('Calcoli matrice C'!$J$10="Allineamento virtuoso",'Calcoli matrice C'!$A$10,"")</f>
        <v/>
      </c>
      <c r="R17">
        <f>IF('Calcoli matrice C'!$J$10="Area fragile",'Calcoli matrice C'!$A$10,"")</f>
        <v/>
      </c>
      <c r="S17">
        <f>IF('Calcoli matrice C'!$J$10="Potenziale nascosto",'Calcoli matrice C'!$A$10,"")</f>
        <v/>
      </c>
    </row>
    <row r="18">
      <c r="A18" s="8">
        <f>'Calcoli matrice C'!A11</f>
        <v/>
      </c>
      <c r="B18" s="17">
        <f>'Calcoli matrice C'!C11</f>
        <v/>
      </c>
      <c r="C18" s="17">
        <f>'Calcoli matrice C'!E11</f>
        <v/>
      </c>
      <c r="D18" s="18">
        <f>'Calcoli matrice C'!J11</f>
        <v/>
      </c>
      <c r="E18" s="8">
        <f>'Calcoli matrice C'!L11</f>
        <v/>
      </c>
      <c r="H18" s="8" t="inlineStr">
        <is>
          <t>Employment</t>
        </is>
      </c>
      <c r="I18" s="17" t="n">
        <v>2.045455</v>
      </c>
      <c r="J18" s="17" t="n">
        <v>3</v>
      </c>
      <c r="P18">
        <f>IF('Calcoli matrice C'!$J$11="Sovraesposizione",'Calcoli matrice C'!$A$11,"")</f>
        <v/>
      </c>
      <c r="Q18">
        <f>IF('Calcoli matrice C'!$J$11="Allineamento virtuoso",'Calcoli matrice C'!$A$11,"")</f>
        <v/>
      </c>
      <c r="R18">
        <f>IF('Calcoli matrice C'!$J$11="Area fragile",'Calcoli matrice C'!$A$11,"")</f>
        <v/>
      </c>
      <c r="S18">
        <f>IF('Calcoli matrice C'!$J$11="Potenziale nascosto",'Calcoli matrice C'!$A$11,"")</f>
        <v/>
      </c>
    </row>
    <row r="19">
      <c r="A19" s="8">
        <f>'Calcoli matrice C'!A12</f>
        <v/>
      </c>
      <c r="B19" s="17">
        <f>'Calcoli matrice C'!C12</f>
        <v/>
      </c>
      <c r="C19" s="17">
        <f>'Calcoli matrice C'!E12</f>
        <v/>
      </c>
      <c r="D19" s="18">
        <f>'Calcoli matrice C'!J12</f>
        <v/>
      </c>
      <c r="E19" s="8">
        <f>'Calcoli matrice C'!L12</f>
        <v/>
      </c>
      <c r="H19" s="8" t="inlineStr">
        <is>
          <t>Employees Engagement</t>
        </is>
      </c>
      <c r="I19" s="17" t="n">
        <v>2.017857</v>
      </c>
      <c r="J19" s="17" t="n">
        <v>3</v>
      </c>
      <c r="P19">
        <f>IF('Calcoli matrice C'!$J$12="Sovraesposizione",'Calcoli matrice C'!$A$12,"")</f>
        <v/>
      </c>
      <c r="Q19">
        <f>IF('Calcoli matrice C'!$J$12="Allineamento virtuoso",'Calcoli matrice C'!$A$12,"")</f>
        <v/>
      </c>
      <c r="R19">
        <f>IF('Calcoli matrice C'!$J$12="Area fragile",'Calcoli matrice C'!$A$12,"")</f>
        <v/>
      </c>
      <c r="S19">
        <f>IF('Calcoli matrice C'!$J$12="Potenziale nascosto",'Calcoli matrice C'!$A$12,"")</f>
        <v/>
      </c>
    </row>
    <row r="20">
      <c r="A20" s="8">
        <f>'Calcoli matrice C'!A13</f>
        <v/>
      </c>
      <c r="B20" s="17">
        <f>'Calcoli matrice C'!C13</f>
        <v/>
      </c>
      <c r="C20" s="17">
        <f>'Calcoli matrice C'!E13</f>
        <v/>
      </c>
      <c r="D20" s="18">
        <f>'Calcoli matrice C'!J13</f>
        <v/>
      </c>
      <c r="E20" s="8">
        <f>'Calcoli matrice C'!L13</f>
        <v/>
      </c>
      <c r="H20" s="8" t="inlineStr">
        <is>
          <t>Education &amp; Training</t>
        </is>
      </c>
      <c r="I20" s="17" t="n">
        <v>1.812207</v>
      </c>
      <c r="J20" s="17" t="n">
        <v>3</v>
      </c>
      <c r="P20">
        <f>IF('Calcoli matrice C'!$J$13="Sovraesposizione",'Calcoli matrice C'!$A$13,"")</f>
        <v/>
      </c>
      <c r="Q20">
        <f>IF('Calcoli matrice C'!$J$13="Allineamento virtuoso",'Calcoli matrice C'!$A$13,"")</f>
        <v/>
      </c>
      <c r="R20">
        <f>IF('Calcoli matrice C'!$J$13="Area fragile",'Calcoli matrice C'!$A$13,"")</f>
        <v/>
      </c>
      <c r="S20">
        <f>IF('Calcoli matrice C'!$J$13="Potenziale nascosto",'Calcoli matrice C'!$A$13,"")</f>
        <v/>
      </c>
    </row>
    <row r="21">
      <c r="A21" s="8">
        <f>'Calcoli matrice C'!A14</f>
        <v/>
      </c>
      <c r="B21" s="17">
        <f>'Calcoli matrice C'!C14</f>
        <v/>
      </c>
      <c r="C21" s="17">
        <f>'Calcoli matrice C'!E14</f>
        <v/>
      </c>
      <c r="D21" s="18">
        <f>'Calcoli matrice C'!J14</f>
        <v/>
      </c>
      <c r="E21" s="8">
        <f>'Calcoli matrice C'!L14</f>
        <v/>
      </c>
      <c r="H21" s="8" t="inlineStr">
        <is>
          <t>Non-discrimination</t>
        </is>
      </c>
      <c r="I21" s="17" t="n">
        <v>1.686567</v>
      </c>
      <c r="J21" s="17" t="n">
        <v>4</v>
      </c>
      <c r="P21">
        <f>IF('Calcoli matrice C'!$J$14="Sovraesposizione",'Calcoli matrice C'!$A$14,"")</f>
        <v/>
      </c>
      <c r="Q21">
        <f>IF('Calcoli matrice C'!$J$14="Allineamento virtuoso",'Calcoli matrice C'!$A$14,"")</f>
        <v/>
      </c>
      <c r="R21">
        <f>IF('Calcoli matrice C'!$J$14="Area fragile",'Calcoli matrice C'!$A$14,"")</f>
        <v/>
      </c>
      <c r="S21">
        <f>IF('Calcoli matrice C'!$J$14="Potenziale nascosto",'Calcoli matrice C'!$A$14,"")</f>
        <v/>
      </c>
    </row>
    <row r="22">
      <c r="A22" s="8">
        <f>'Calcoli matrice C'!A15</f>
        <v/>
      </c>
      <c r="B22" s="17">
        <f>'Calcoli matrice C'!C15</f>
        <v/>
      </c>
      <c r="C22" s="17">
        <f>'Calcoli matrice C'!E15</f>
        <v/>
      </c>
      <c r="D22" s="18">
        <f>'Calcoli matrice C'!J15</f>
        <v/>
      </c>
      <c r="E22" s="8">
        <f>'Calcoli matrice C'!L15</f>
        <v/>
      </c>
      <c r="H22" s="8" t="inlineStr">
        <is>
          <t>Monitoring</t>
        </is>
      </c>
      <c r="I22" s="17" t="n">
        <v>1.756522</v>
      </c>
      <c r="J22" s="17" t="n">
        <v>3</v>
      </c>
      <c r="P22">
        <f>IF('Calcoli matrice C'!$J$15="Sovraesposizione",'Calcoli matrice C'!$A$15,"")</f>
        <v/>
      </c>
      <c r="Q22">
        <f>IF('Calcoli matrice C'!$J$15="Allineamento virtuoso",'Calcoli matrice C'!$A$15,"")</f>
        <v/>
      </c>
      <c r="R22">
        <f>IF('Calcoli matrice C'!$J$15="Area fragile",'Calcoli matrice C'!$A$15,"")</f>
        <v/>
      </c>
      <c r="S22">
        <f>IF('Calcoli matrice C'!$J$15="Potenziale nascosto",'Calcoli matrice C'!$A$15,"")</f>
        <v/>
      </c>
    </row>
    <row r="23">
      <c r="A23" s="8">
        <f>'Calcoli matrice C'!A16</f>
        <v/>
      </c>
      <c r="B23" s="17">
        <f>'Calcoli matrice C'!C16</f>
        <v/>
      </c>
      <c r="C23" s="17">
        <f>'Calcoli matrice C'!E16</f>
        <v/>
      </c>
      <c r="D23" s="18">
        <f>'Calcoli matrice C'!J16</f>
        <v/>
      </c>
      <c r="E23" s="8">
        <f>'Calcoli matrice C'!L16</f>
        <v/>
      </c>
      <c r="H23" s="8" t="inlineStr">
        <is>
          <t>Supply Chain Diversity</t>
        </is>
      </c>
      <c r="I23" s="17" t="n">
        <v>2</v>
      </c>
      <c r="J23" s="17" t="n">
        <v>3</v>
      </c>
      <c r="P23">
        <f>IF('Calcoli matrice C'!$J$16="Sovraesposizione",'Calcoli matrice C'!$A$16,"")</f>
        <v/>
      </c>
      <c r="Q23">
        <f>IF('Calcoli matrice C'!$J$16="Allineamento virtuoso",'Calcoli matrice C'!$A$16,"")</f>
        <v/>
      </c>
      <c r="R23">
        <f>IF('Calcoli matrice C'!$J$16="Area fragile",'Calcoli matrice C'!$A$16,"")</f>
        <v/>
      </c>
      <c r="S23">
        <f>IF('Calcoli matrice C'!$J$16="Potenziale nascosto",'Calcoli matrice C'!$A$16,"")</f>
        <v/>
      </c>
    </row>
    <row r="24">
      <c r="A24" s="8">
        <f>'Calcoli matrice C'!A17</f>
        <v/>
      </c>
      <c r="B24" s="17">
        <f>'Calcoli matrice C'!C17</f>
        <v/>
      </c>
      <c r="C24" s="17">
        <f>'Calcoli matrice C'!E17</f>
        <v/>
      </c>
      <c r="D24" s="19">
        <f>'Calcoli matrice C'!J17</f>
        <v/>
      </c>
      <c r="E24" s="8">
        <f>'Calcoli matrice C'!L17</f>
        <v/>
      </c>
      <c r="H24" s="8" t="inlineStr">
        <is>
          <t>Communities</t>
        </is>
      </c>
      <c r="I24" s="17" t="n">
        <v>4</v>
      </c>
      <c r="J24" s="17" t="n">
        <v>3</v>
      </c>
      <c r="P24">
        <f>IF('Calcoli matrice C'!$J$17="Sovraesposizione",'Calcoli matrice C'!$A$17,"")</f>
        <v/>
      </c>
      <c r="Q24">
        <f>IF('Calcoli matrice C'!$J$17="Allineamento virtuoso",'Calcoli matrice C'!$A$17,"")</f>
        <v/>
      </c>
      <c r="R24">
        <f>IF('Calcoli matrice C'!$J$17="Area fragile",'Calcoli matrice C'!$A$17,"")</f>
        <v/>
      </c>
      <c r="S24">
        <f>IF('Calcoli matrice C'!$J$17="Potenziale nascosto",'Calcoli matrice C'!$A$17,"")</f>
        <v/>
      </c>
    </row>
    <row r="25">
      <c r="A25" s="8">
        <f>'Calcoli matrice C'!A18</f>
        <v/>
      </c>
      <c r="B25" s="17">
        <f>'Calcoli matrice C'!C18</f>
        <v/>
      </c>
      <c r="C25" s="17">
        <f>'Calcoli matrice C'!E18</f>
        <v/>
      </c>
      <c r="D25" s="20">
        <f>'Calcoli matrice C'!J18</f>
        <v/>
      </c>
      <c r="E25" s="8">
        <f>'Calcoli matrice C'!L18</f>
        <v/>
      </c>
      <c r="H25" s="8" t="inlineStr">
        <is>
          <t>End-users</t>
        </is>
      </c>
      <c r="I25" s="17" t="n">
        <v>2.248848</v>
      </c>
      <c r="J25" s="17" t="n">
        <v>2</v>
      </c>
      <c r="P25">
        <f>IF('Calcoli matrice C'!$J$18="Sovraesposizione",'Calcoli matrice C'!$A$18,"")</f>
        <v/>
      </c>
      <c r="Q25">
        <f>IF('Calcoli matrice C'!$J$18="Allineamento virtuoso",'Calcoli matrice C'!$A$18,"")</f>
        <v/>
      </c>
      <c r="R25">
        <f>IF('Calcoli matrice C'!$J$18="Area fragile",'Calcoli matrice C'!$A$18,"")</f>
        <v/>
      </c>
      <c r="S25">
        <f>IF('Calcoli matrice C'!$J$18="Potenziale nascosto",'Calcoli matrice C'!$A$18,"")</f>
        <v/>
      </c>
    </row>
    <row r="28">
      <c r="H28" t="inlineStr">
        <is>
          <t>linea x=2,5</t>
        </is>
      </c>
      <c r="I28" t="n">
        <v>2.5</v>
      </c>
      <c r="J28" t="n">
        <v>1</v>
      </c>
      <c r="L28" t="inlineStr">
        <is>
          <t>linea y=2,5</t>
        </is>
      </c>
      <c r="M28" t="n">
        <v>1</v>
      </c>
      <c r="N28" t="n">
        <v>2.5</v>
      </c>
    </row>
    <row r="29">
      <c r="H29" t="inlineStr">
        <is>
          <t>linea x=2,5</t>
        </is>
      </c>
      <c r="I29" t="n">
        <v>2.5</v>
      </c>
      <c r="J29" t="n">
        <v>4</v>
      </c>
      <c r="L29" t="inlineStr">
        <is>
          <t>linea y=2,5</t>
        </is>
      </c>
      <c r="M29" t="n">
        <v>4</v>
      </c>
      <c r="N29" t="n">
        <v>2.5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2026-08-09T10:03:53Z</dcterms:created>
  <dcterms:modified xmlns:dcterms="http://purl.org/dc/terms/" xmlns:xsi="http://www.w3.org/2001/XMLSchema-instance" xsi:type="dcterms:W3CDTF">2026-08-09T10:03:53Z</dcterms:modified>
</cp:coreProperties>
</file>